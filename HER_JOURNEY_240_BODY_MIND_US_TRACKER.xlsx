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Daily Diet Plan" sheetId="2" state="visible" r:id="rId2"/>
    <sheet xmlns:r="http://schemas.openxmlformats.org/officeDocument/2006/relationships" name="Daily Zumba &amp; Movement Plan" sheetId="3" state="visible" r:id="rId3"/>
    <sheet xmlns:r="http://schemas.openxmlformats.org/officeDocument/2006/relationships" name="Actual Food Log" sheetId="4" state="visible" r:id="rId4"/>
    <sheet xmlns:r="http://schemas.openxmlformats.org/officeDocument/2006/relationships" name="Actual Exercise Log" sheetId="5" state="visible" r:id="rId5"/>
    <sheet xmlns:r="http://schemas.openxmlformats.org/officeDocument/2006/relationships" name="Daily Calorie Summary" sheetId="6" state="visible" r:id="rId6"/>
    <sheet xmlns:r="http://schemas.openxmlformats.org/officeDocument/2006/relationships" name="Weight &amp; Measurements" sheetId="7" state="visible" r:id="rId7"/>
    <sheet xmlns:r="http://schemas.openxmlformats.org/officeDocument/2006/relationships" name="Grocery List" sheetId="8" state="visible" r:id="rId8"/>
    <sheet xmlns:r="http://schemas.openxmlformats.org/officeDocument/2006/relationships" name="Dashboard"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7">
    <font>
      <name val="Calibri"/>
      <family val="2"/>
      <color theme="1"/>
      <sz val="11"/>
      <scheme val="minor"/>
    </font>
    <font>
      <name val="Calibri"/>
      <b val="1"/>
      <color rgb="00FFFFFF"/>
      <sz val="15"/>
    </font>
    <font>
      <name val="Calibri"/>
      <b val="1"/>
      <color rgb="00FFFFFF"/>
      <sz val="12"/>
    </font>
    <font>
      <name val="Calibri"/>
      <b val="1"/>
      <sz val="10"/>
    </font>
    <font>
      <name val="Calibri"/>
      <sz val="10"/>
    </font>
    <font>
      <name val="Calibri"/>
      <i val="1"/>
      <color rgb="00666666"/>
      <sz val="9"/>
    </font>
    <font>
      <name val="Calibri"/>
      <b val="1"/>
      <color rgb="00FFFFFF"/>
      <sz val="11"/>
    </font>
  </fonts>
  <fills count="8">
    <fill>
      <patternFill/>
    </fill>
    <fill>
      <patternFill patternType="gray125"/>
    </fill>
    <fill>
      <patternFill patternType="solid">
        <fgColor rgb="003B1E34"/>
        <bgColor rgb="003B1E34"/>
      </patternFill>
    </fill>
    <fill>
      <patternFill patternType="solid">
        <fgColor rgb="008B4268"/>
        <bgColor rgb="008B4268"/>
      </patternFill>
    </fill>
    <fill>
      <patternFill patternType="solid">
        <fgColor rgb="00FDFBF9"/>
        <bgColor rgb="00FDFBF9"/>
      </patternFill>
    </fill>
    <fill>
      <patternFill patternType="solid">
        <fgColor rgb="00E8F5E9"/>
        <bgColor rgb="00E8F5E9"/>
      </patternFill>
    </fill>
    <fill>
      <patternFill patternType="solid">
        <fgColor rgb="00FFF3E0"/>
        <bgColor rgb="00FFF3E0"/>
      </patternFill>
    </fill>
    <fill>
      <patternFill patternType="solid">
        <fgColor rgb="00F9F3F6"/>
        <bgColor rgb="00F9F3F6"/>
      </patternFill>
    </fill>
  </fills>
  <borders count="2">
    <border>
      <left/>
      <right/>
      <top/>
      <bottom/>
      <diagonal/>
    </border>
    <border>
      <left style="thin">
        <color rgb="00E0D6DD"/>
      </left>
      <right style="thin">
        <color rgb="00E0D6DD"/>
      </right>
      <top style="thin">
        <color rgb="00E0D6DD"/>
      </top>
      <bottom style="thin">
        <color rgb="00E0D6DD"/>
      </bottom>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5" fillId="0" borderId="1" pivotButton="0" quotePrefix="0" xfId="0"/>
    <xf numFmtId="0" fontId="6"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3" fontId="4" fillId="4" borderId="1" applyAlignment="1" pivotButton="0" quotePrefix="0" xfId="0">
      <alignment horizontal="right" vertical="center"/>
    </xf>
    <xf numFmtId="164" fontId="4" fillId="4" borderId="1" applyAlignment="1" pivotButton="0" quotePrefix="0" xfId="0">
      <alignment horizontal="righ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4" fontId="4" fillId="4" borderId="1" applyAlignment="1" pivotButton="0" quotePrefix="0" xfId="0">
      <alignment horizontal="right" vertical="center"/>
    </xf>
    <xf numFmtId="4" fontId="4" fillId="0" borderId="1" applyAlignment="1" pivotButton="0" quotePrefix="0" xfId="0">
      <alignment horizontal="right" vertical="center"/>
    </xf>
    <xf numFmtId="0" fontId="6" fillId="3" borderId="1" applyAlignment="1" pivotButton="0" quotePrefix="0" xfId="0">
      <alignment horizontal="center" vertical="center" wrapText="1"/>
    </xf>
    <xf numFmtId="165" fontId="4" fillId="0" borderId="1" applyAlignment="1" pivotButton="0" quotePrefix="0" xfId="0">
      <alignment horizontal="right" vertical="center"/>
    </xf>
    <xf numFmtId="165" fontId="4" fillId="4" borderId="1" applyAlignment="1" pivotButton="0" quotePrefix="0" xfId="0">
      <alignment horizontal="right" vertical="center"/>
    </xf>
    <xf numFmtId="0" fontId="3" fillId="7"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Weight Trend &amp; 7-Day Rolling Average (kg)</a:t>
            </a:r>
          </a:p>
        </rich>
      </tx>
    </title>
    <plotArea>
      <lineChart>
        <grouping val="standard"/>
        <ser>
          <idx val="0"/>
          <order val="0"/>
          <tx>
            <strRef>
              <f>'Weight &amp; Measurements'!D1</f>
            </strRef>
          </tx>
          <spPr>
            <a:ln xmlns:a="http://schemas.openxmlformats.org/drawingml/2006/main">
              <a:prstDash val="solid"/>
            </a:ln>
          </spPr>
          <marker>
            <symbol val="none"/>
            <spPr>
              <a:ln xmlns:a="http://schemas.openxmlformats.org/drawingml/2006/main">
                <a:prstDash val="solid"/>
              </a:ln>
            </spPr>
          </marker>
          <cat>
            <numRef>
              <f>'Weight &amp; Measurements'!$A$2:$A$15</f>
            </numRef>
          </cat>
          <val>
            <numRef>
              <f>'Weight &amp; Measurements'!$D$2:$D$15</f>
            </numRef>
          </val>
        </ser>
        <ser>
          <idx val="1"/>
          <order val="1"/>
          <tx>
            <strRef>
              <f>'Weight &amp; Measurements'!E1</f>
            </strRef>
          </tx>
          <spPr>
            <a:ln xmlns:a="http://schemas.openxmlformats.org/drawingml/2006/main">
              <a:prstDash val="solid"/>
            </a:ln>
          </spPr>
          <marker>
            <symbol val="none"/>
            <spPr>
              <a:ln xmlns:a="http://schemas.openxmlformats.org/drawingml/2006/main">
                <a:prstDash val="solid"/>
              </a:ln>
            </spPr>
          </marker>
          <cat>
            <numRef>
              <f>'Weight &amp; Measurements'!$A$2:$A$15</f>
            </numRef>
          </cat>
          <val>
            <numRef>
              <f>'Weight &amp; Measurements'!$E$2:$E$15</f>
            </numRef>
          </val>
        </ser>
        <axId val="10"/>
        <axId val="100"/>
      </lineChart>
      <catAx>
        <axId val="10"/>
        <scaling>
          <orientation val="minMax"/>
        </scaling>
        <axPos val="l"/>
        <numFmt formatCode="yyyy-mm-dd" sourceLinked="0"/>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 (kg)</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Daily Calorie Intake vs Planned Target (kcal)</a:t>
            </a:r>
          </a:p>
        </rich>
      </tx>
    </title>
    <plotArea>
      <barChart>
        <barDir val="col"/>
        <grouping val="clustered"/>
        <ser>
          <idx val="0"/>
          <order val="0"/>
          <tx>
            <strRef>
              <f>'Daily Calorie Summary'!D1</f>
            </strRef>
          </tx>
          <spPr>
            <a:ln xmlns:a="http://schemas.openxmlformats.org/drawingml/2006/main">
              <a:prstDash val="solid"/>
            </a:ln>
          </spPr>
          <cat>
            <numRef>
              <f>'Daily Calorie Summary'!$A$2:$A$15</f>
            </numRef>
          </cat>
          <val>
            <numRef>
              <f>'Daily Calorie Summary'!$D$2:$D$15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Calories (kcal)</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Estimated Daily Calorie Deficit (TDEE - Consumed)</a:t>
            </a:r>
          </a:p>
        </rich>
      </tx>
    </title>
    <plotArea>
      <lineChart>
        <grouping val="standard"/>
        <ser>
          <idx val="0"/>
          <order val="0"/>
          <tx>
            <strRef>
              <f>'Daily Calorie Summary'!I1</f>
            </strRef>
          </tx>
          <spPr>
            <a:ln xmlns:a="http://schemas.openxmlformats.org/drawingml/2006/main">
              <a:prstDash val="solid"/>
            </a:ln>
          </spPr>
          <marker>
            <symbol val="none"/>
            <spPr>
              <a:ln xmlns:a="http://schemas.openxmlformats.org/drawingml/2006/main">
                <a:prstDash val="solid"/>
              </a:ln>
            </spPr>
          </marker>
          <cat>
            <numRef>
              <f>'Daily Calorie Summary'!$A$2:$A$15</f>
            </numRef>
          </cat>
          <val>
            <numRef>
              <f>'Daily Calorie Summary'!$I$2:$I$15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Calorie Deficit (kcal)</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2"/>
  <chart>
    <title>
      <tx>
        <rich>
          <a:bodyPr xmlns:a="http://schemas.openxmlformats.org/drawingml/2006/main"/>
          <a:p xmlns:a="http://schemas.openxmlformats.org/drawingml/2006/main">
            <a:pPr>
              <a:defRPr/>
            </a:pPr>
            <a:r>
              <a:t>Actual Daily Protein Intake (g)</a:t>
            </a:r>
          </a:p>
        </rich>
      </tx>
    </title>
    <plotArea>
      <barChart>
        <barDir val="col"/>
        <grouping val="clustered"/>
        <ser>
          <idx val="0"/>
          <order val="0"/>
          <tx>
            <strRef>
              <f>'Daily Calorie Summary'!E1</f>
            </strRef>
          </tx>
          <spPr>
            <a:ln xmlns:a="http://schemas.openxmlformats.org/drawingml/2006/main">
              <a:prstDash val="solid"/>
            </a:ln>
          </spPr>
          <cat>
            <numRef>
              <f>'Daily Calorie Summary'!$A$2:$A$15</f>
            </numRef>
          </cat>
          <val>
            <numRef>
              <f>'Daily Calorie Summary'!$E$2:$E$15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Protein (g)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5</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21</row>
      <rowOff>0</rowOff>
    </from>
    <ext cx="64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21</row>
      <rowOff>0</rowOff>
    </from>
    <ext cx="648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32"/>
  <sheetViews>
    <sheetView showGridLines="1" workbookViewId="0">
      <selection activeCell="A1" sqref="A1"/>
    </sheetView>
  </sheetViews>
  <sheetFormatPr baseColWidth="8" defaultRowHeight="15" outlineLevelCol="0"/>
  <cols>
    <col width="38" customWidth="1" min="1" max="1"/>
    <col width="24" customWidth="1" min="2" max="2"/>
    <col width="65" customWidth="1" min="3" max="3"/>
    <col width="18" customWidth="1" min="4" max="4"/>
  </cols>
  <sheetData>
    <row r="1" ht="36" customHeight="1">
      <c r="A1" s="1" t="inlineStr">
        <is>
          <t>HER JOURNEY 240 — PERSONAL SETUP &amp; CALORIE CALCULATOR</t>
        </is>
      </c>
    </row>
    <row r="2" ht="24" customHeight="1">
      <c r="A2" s="2" t="inlineStr">
        <is>
          <t>SECTION 1: HER PROFILE</t>
        </is>
      </c>
    </row>
    <row r="3" ht="24" customHeight="1">
      <c r="A3" s="3" t="inlineStr">
        <is>
          <t>Full Name</t>
        </is>
      </c>
      <c r="B3" s="4" t="inlineStr">
        <is>
          <t>Deep</t>
        </is>
      </c>
      <c r="C3" s="5" t="inlineStr">
        <is>
          <t>Editable in app settings</t>
        </is>
      </c>
      <c r="D3" s="4" t="inlineStr"/>
    </row>
    <row r="4" ht="24" customHeight="1">
      <c r="A4" s="3" t="inlineStr">
        <is>
          <t>Age</t>
        </is>
      </c>
      <c r="B4" s="4" t="n">
        <v>25</v>
      </c>
      <c r="C4" s="5" t="inlineStr">
        <is>
          <t>Years</t>
        </is>
      </c>
      <c r="D4" s="4" t="inlineStr"/>
    </row>
    <row r="5" ht="24" customHeight="1">
      <c r="A5" s="3" t="inlineStr">
        <is>
          <t>Sex</t>
        </is>
      </c>
      <c r="B5" s="4" t="inlineStr">
        <is>
          <t>Female</t>
        </is>
      </c>
      <c r="C5" s="5" t="inlineStr">
        <is>
          <t>Used in Mifflin-St Jeor formula</t>
        </is>
      </c>
      <c r="D5" s="4" t="inlineStr"/>
    </row>
    <row r="6" ht="24" customHeight="1">
      <c r="A6" s="3" t="inlineStr">
        <is>
          <t>Current Weight (kg)</t>
        </is>
      </c>
      <c r="B6" s="4" t="n">
        <v>86.2</v>
      </c>
      <c r="C6" s="5" t="inlineStr">
        <is>
          <t>Latest check-in weight</t>
        </is>
      </c>
      <c r="D6" s="4" t="inlineStr"/>
    </row>
    <row r="7" ht="24" customHeight="1">
      <c r="A7" s="3" t="inlineStr">
        <is>
          <t>Baseline Starting Weight (kg)</t>
        </is>
      </c>
      <c r="B7" s="4" t="n">
        <v>88.5</v>
      </c>
      <c r="C7" s="5" t="inlineStr">
        <is>
          <t>October 24, 2026 baseline</t>
        </is>
      </c>
      <c r="D7" s="4" t="inlineStr"/>
    </row>
    <row r="8" ht="24" customHeight="1">
      <c r="A8" s="3" t="inlineStr">
        <is>
          <t>Height (cm)</t>
        </is>
      </c>
      <c r="B8" s="4" t="n">
        <v>158</v>
      </c>
      <c r="C8" s="5" t="inlineStr">
        <is>
          <t>Approx 5'2" (Ask to confirm in settings)</t>
        </is>
      </c>
      <c r="D8" s="4" t="inlineStr"/>
    </row>
    <row r="9" ht="24" customHeight="1">
      <c r="A9" s="3" t="inlineStr">
        <is>
          <t>Location</t>
        </is>
      </c>
      <c r="B9" s="4" t="inlineStr">
        <is>
          <t>Bengaluru, Karnataka, India</t>
        </is>
      </c>
      <c r="C9" s="5" t="inlineStr">
        <is>
          <t>Bengaluru, Karnataka, India</t>
        </is>
      </c>
      <c r="D9" s="4" t="inlineStr"/>
    </row>
    <row r="10" ht="24" customHeight="1">
      <c r="A10" s="3" t="inlineStr">
        <is>
          <t>Food Preference</t>
        </is>
      </c>
      <c r="B10" s="4" t="inlineStr">
        <is>
          <t>Non-vegetarian (with vegetarian alternatives)</t>
        </is>
      </c>
      <c r="C10" s="5" t="inlineStr">
        <is>
          <t>Home-cooked South Indian + chicken, egg, veg alts</t>
        </is>
      </c>
      <c r="D10" s="4" t="inlineStr"/>
    </row>
    <row r="11" ht="24" customHeight="1">
      <c r="A11" s="3" t="inlineStr">
        <is>
          <t>Exercise Preference</t>
        </is>
      </c>
      <c r="B11" s="4" t="inlineStr">
        <is>
          <t>Joyful beginner Zumba dance &amp; comfortable walking (no gym/weightlifting routine)</t>
        </is>
      </c>
      <c r="C11" s="5" t="inlineStr">
        <is>
          <t>Joyful beginner Zumba YouTube sessions &amp; walking</t>
        </is>
      </c>
      <c r="D11" s="4" t="inlineStr"/>
    </row>
    <row r="12" ht="24" customHeight="1">
      <c r="A12" s="3" t="inlineStr">
        <is>
          <t>Plan Start Date</t>
        </is>
      </c>
      <c r="B12" s="4" t="inlineStr">
        <is>
          <t>2026-10-24</t>
        </is>
      </c>
      <c r="C12" s="5" t="inlineStr">
        <is>
          <t>October 24, 2026 (Day 1)</t>
        </is>
      </c>
      <c r="D12" s="4" t="inlineStr"/>
    </row>
    <row r="13" ht="24" customHeight="1">
      <c r="A13" s="3" t="inlineStr">
        <is>
          <t>Plan End Date</t>
        </is>
      </c>
      <c r="B13" s="4" t="inlineStr">
        <is>
          <t>2027-06-20</t>
        </is>
      </c>
      <c r="C13" s="5" t="inlineStr">
        <is>
          <t>June 20, 2027 (Day 240)</t>
        </is>
      </c>
      <c r="D13" s="4" t="inlineStr"/>
    </row>
    <row r="14" ht="24" customHeight="1">
      <c r="A14" s="3" t="inlineStr">
        <is>
          <t>Total Journey Days</t>
        </is>
      </c>
      <c r="B14" s="4" t="n">
        <v>240</v>
      </c>
      <c r="C14" s="5" t="inlineStr">
        <is>
          <t>Inclusive calendar days</t>
        </is>
      </c>
      <c r="D14" s="4" t="inlineStr"/>
    </row>
    <row r="15" ht="24" customHeight="1">
      <c r="A15" s="4" t="inlineStr"/>
      <c r="B15" s="4" t="inlineStr"/>
      <c r="C15" s="5" t="inlineStr"/>
      <c r="D15" s="4" t="inlineStr"/>
    </row>
    <row r="16" ht="24" customHeight="1">
      <c r="A16" s="2" t="inlineStr">
        <is>
          <t>SECTION 2: ENERGY &amp; CALORIE CALCULATOR</t>
        </is>
      </c>
    </row>
    <row r="17" ht="24" customHeight="1">
      <c r="A17" s="3" t="inlineStr">
        <is>
          <t>Mifflin-St Jeor BMR (kcal)</t>
        </is>
      </c>
      <c r="B17" s="4">
        <f>ROUND(10*B5 + 6.25*B7 - 5*B3 - 161, 1)</f>
        <v/>
      </c>
      <c r="C17" s="5" t="inlineStr">
        <is>
          <t>Female BMR formula: 10*W + 6.25*H - 5*Age - 161</t>
        </is>
      </c>
      <c r="D17" s="4" t="inlineStr">
        <is>
          <t>1563.5 kcal</t>
        </is>
      </c>
    </row>
    <row r="18" ht="24" customHeight="1">
      <c r="A18" s="3" t="inlineStr">
        <is>
          <t>Baseline Activity Multiplier</t>
        </is>
      </c>
      <c r="B18" s="4" t="n">
        <v>1.2</v>
      </c>
      <c r="C18" s="5" t="inlineStr">
        <is>
          <t>Sedentary baseline: desk work &amp; daily life (Zumba logged separately)</t>
        </is>
      </c>
      <c r="D18" s="4" t="inlineStr">
        <is>
          <t>1.20</t>
        </is>
      </c>
    </row>
    <row r="19" ht="24" customHeight="1">
      <c r="A19" s="3" t="inlineStr">
        <is>
          <t>Baseline Maintenance TDEE (kcal)</t>
        </is>
      </c>
      <c r="B19" s="4">
        <f>ROUND(B16*B17, 1)</f>
        <v/>
      </c>
      <c r="C19" s="5" t="inlineStr">
        <is>
          <t>Baseline daily expenditure before separately logged workouts</t>
        </is>
      </c>
      <c r="D19" s="4" t="inlineStr">
        <is>
          <t>1876.2 kcal</t>
        </is>
      </c>
    </row>
    <row r="20" ht="24" customHeight="1">
      <c r="A20" s="3" t="inlineStr">
        <is>
          <t>Planned Moderate Calorie Deficit (kcal)</t>
        </is>
      </c>
      <c r="B20" s="4" t="n">
        <v>350</v>
      </c>
      <c r="C20" s="5" t="inlineStr">
        <is>
          <t>Gentle, non-aggressive sustainable deficit (no starvation)</t>
        </is>
      </c>
      <c r="D20" s="4" t="inlineStr">
        <is>
          <t>350 kcal</t>
        </is>
      </c>
    </row>
    <row r="21" ht="24" customHeight="1">
      <c r="A21" s="3" t="inlineStr">
        <is>
          <t>Planned Daily Calorie Target (kcal)</t>
        </is>
      </c>
      <c r="B21" s="4">
        <f>ROUND(B18 - B19, 0)</f>
        <v/>
      </c>
      <c r="C21" s="5" t="inlineStr">
        <is>
          <t>Planned daily food calorie intake</t>
        </is>
      </c>
      <c r="D21" s="4" t="inlineStr">
        <is>
          <t>1526 kcal</t>
        </is>
      </c>
    </row>
    <row r="22" ht="24" customHeight="1">
      <c r="A22" s="3" t="inlineStr">
        <is>
          <t>Planned Daily Protein Target (g)</t>
        </is>
      </c>
      <c r="B22" s="4" t="n">
        <v>85</v>
      </c>
      <c r="C22" s="5" t="inlineStr">
        <is>
          <t>Optimal muscle support (~1.0 g/kg)</t>
        </is>
      </c>
      <c r="D22" s="4" t="inlineStr">
        <is>
          <t>85 g</t>
        </is>
      </c>
    </row>
    <row r="23" ht="24" customHeight="1">
      <c r="A23" s="3" t="inlineStr">
        <is>
          <t>Planned Daily Carbohydrates (g)</t>
        </is>
      </c>
      <c r="B23" s="4" t="n">
        <v>175</v>
      </c>
      <c r="C23" s="5" t="inlineStr">
        <is>
          <t>Complex grains: millet, oats, rice, atta</t>
        </is>
      </c>
      <c r="D23" s="4" t="inlineStr">
        <is>
          <t>175 g</t>
        </is>
      </c>
    </row>
    <row r="24" ht="24" customHeight="1">
      <c r="A24" s="3" t="inlineStr">
        <is>
          <t>Planned Daily Fat (g)</t>
        </is>
      </c>
      <c r="B24" s="4" t="n">
        <v>42</v>
      </c>
      <c r="C24" s="5" t="inlineStr">
        <is>
          <t>Nourishing fats: eggs, curd, seeds, light ghee</t>
        </is>
      </c>
      <c r="D24" s="4" t="inlineStr">
        <is>
          <t>42 g</t>
        </is>
      </c>
    </row>
    <row r="25" ht="24" customHeight="1">
      <c r="A25" s="3" t="inlineStr">
        <is>
          <t>Estimated Daily Meal Cost (INR)</t>
        </is>
      </c>
      <c r="B25" s="4" t="inlineStr">
        <is>
          <t>₹150 - ₹210</t>
        </is>
      </c>
      <c r="C25" s="5" t="inlineStr">
        <is>
          <t>Affordable Bengaluru grocery budget</t>
        </is>
      </c>
      <c r="D25" s="4" t="inlineStr">
        <is>
          <t>₹150 - ₹210</t>
        </is>
      </c>
    </row>
    <row r="26" ht="24" customHeight="1">
      <c r="A26" s="4" t="inlineStr"/>
      <c r="B26" s="4" t="inlineStr"/>
      <c r="C26" s="5" t="inlineStr"/>
      <c r="D26" s="4" t="inlineStr"/>
    </row>
    <row r="27" ht="24" customHeight="1">
      <c r="A27" s="2" t="inlineStr">
        <is>
          <t>SECTION 3: SCIENTIFIC METHODOLOGY &amp; PRIVACY DISCLAIMERS</t>
        </is>
      </c>
    </row>
    <row r="28" ht="24" customHeight="1">
      <c r="A28" s="3" t="inlineStr">
        <is>
          <t>Energy Model Rule 1</t>
        </is>
      </c>
      <c r="B28" s="4" t="inlineStr">
        <is>
          <t>Baseline expenditure excludes exercise. Separately logged Zumba &amp; walking calories are added to calculate TDEE.</t>
        </is>
      </c>
      <c r="C28" s="5" t="inlineStr"/>
      <c r="D28" s="4" t="inlineStr"/>
    </row>
    <row r="29" ht="24" customHeight="1">
      <c r="A29" s="3" t="inlineStr">
        <is>
          <t>Energy Model Rule 2</t>
        </is>
      </c>
      <c r="B29" s="4" t="inlineStr">
        <is>
          <t>Deficit = TDEE - Actual Calories Consumed. Positive = Deficit; Negative = Surplus.</t>
        </is>
      </c>
      <c r="C29" s="5" t="inlineStr"/>
      <c r="D29" s="4" t="inlineStr"/>
    </row>
    <row r="30" ht="24" customHeight="1">
      <c r="A30" s="3" t="inlineStr">
        <is>
          <t>Weight Fluctuation Note</t>
        </is>
      </c>
      <c r="B30" s="4" t="inlineStr">
        <is>
          <t>Single-day weigh-ins fluctuate due to menstrual cycle, water retention, and sodium. Never interpret 1-day change as fat gain.</t>
        </is>
      </c>
      <c r="C30" s="5" t="inlineStr"/>
      <c r="D30" s="4" t="inlineStr"/>
    </row>
    <row r="31" ht="24" customHeight="1">
      <c r="A31" s="3" t="inlineStr">
        <is>
          <t>Rest Day Rule</t>
        </is>
      </c>
      <c r="B31" s="4" t="inlineStr">
        <is>
          <t>REST MEANS REST. On rest days, 0 workout calories required, no mandatory cardio or dance, no pressure.</t>
        </is>
      </c>
      <c r="C31" s="5" t="inlineStr"/>
      <c r="D31" s="4" t="inlineStr"/>
    </row>
    <row r="32" ht="24" customHeight="1">
      <c r="A32" s="3" t="inlineStr">
        <is>
          <t>Medical Disclaimer</t>
        </is>
      </c>
      <c r="B32" s="4" t="inlineStr">
        <is>
          <t>All calculations are estimates for educational wellness support, not medical diagnoses or guaranteed fat loss.</t>
        </is>
      </c>
      <c r="C32" s="5" t="inlineStr"/>
      <c r="D32" s="4" t="inlineStr"/>
    </row>
  </sheetData>
  <mergeCells count="4">
    <mergeCell ref="A1:D1"/>
    <mergeCell ref="A16:D16"/>
    <mergeCell ref="A27:D27"/>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1"/>
  <sheetViews>
    <sheetView showGridLines="1" workbookViewId="0">
      <selection activeCell="A1" sqref="A1"/>
    </sheetView>
  </sheetViews>
  <sheetFormatPr baseColWidth="8" defaultRowHeight="15" outlineLevelCol="0"/>
  <cols>
    <col width="13" customWidth="1" min="1" max="1"/>
    <col width="13" customWidth="1" min="2" max="2"/>
    <col width="13" customWidth="1" min="3" max="3"/>
    <col width="30" customWidth="1" min="4" max="4"/>
    <col width="38" customWidth="1" min="5" max="5"/>
    <col width="38" customWidth="1" min="6" max="6"/>
    <col width="38" customWidth="1" min="7" max="7"/>
    <col width="30" customWidth="1" min="8" max="8"/>
    <col width="38" customWidth="1" min="9" max="9"/>
    <col width="38" customWidth="1" min="10" max="10"/>
    <col width="38" customWidth="1" min="11" max="11"/>
    <col width="30" customWidth="1" min="12" max="12"/>
    <col width="38" customWidth="1" min="13" max="13"/>
    <col width="38" customWidth="1" min="14" max="14"/>
    <col width="38" customWidth="1" min="15" max="15"/>
    <col width="30" customWidth="1" min="16" max="16"/>
    <col width="16" customWidth="1" min="17" max="17"/>
    <col width="16" customWidth="1" min="18" max="18"/>
    <col width="16" customWidth="1" min="19" max="19"/>
    <col width="16" customWidth="1" min="20" max="20"/>
    <col width="16" customWidth="1" min="21" max="21"/>
    <col width="45" customWidth="1" min="22" max="22"/>
  </cols>
  <sheetData>
    <row r="1" ht="28" customHeight="1">
      <c r="A1" s="6" t="inlineStr">
        <is>
          <t>Date</t>
        </is>
      </c>
      <c r="B1" s="6" t="inlineStr">
        <is>
          <t>Day #</t>
        </is>
      </c>
      <c r="C1" s="6" t="inlineStr">
        <is>
          <t>Day of Week</t>
        </is>
      </c>
      <c r="D1" s="6" t="inlineStr">
        <is>
          <t>Menu Theme</t>
        </is>
      </c>
      <c r="E1" s="6" t="inlineStr">
        <is>
          <t>Breakfast Option 1 (Recommended)</t>
        </is>
      </c>
      <c r="F1" s="6" t="inlineStr">
        <is>
          <t>Breakfast Option 2 (Alt)</t>
        </is>
      </c>
      <c r="G1" s="6" t="inlineStr">
        <is>
          <t>Breakfast Option 3 (Veg Alt)</t>
        </is>
      </c>
      <c r="H1" s="6" t="inlineStr">
        <is>
          <t>Mid-Morning Refresher / Snack</t>
        </is>
      </c>
      <c r="I1" s="6" t="inlineStr">
        <is>
          <t>Lunch Option 1 (Non-Veg)</t>
        </is>
      </c>
      <c r="J1" s="6" t="inlineStr">
        <is>
          <t>Lunch Option 2 (Egg/Fish)</t>
        </is>
      </c>
      <c r="K1" s="6" t="inlineStr">
        <is>
          <t>Lunch Option 3 (Veg / Paneer)</t>
        </is>
      </c>
      <c r="L1" s="6" t="inlineStr">
        <is>
          <t>Evening Snack &amp; Crunch</t>
        </is>
      </c>
      <c r="M1" s="6" t="inlineStr">
        <is>
          <t>Dinner Option 1 (High Protein)</t>
        </is>
      </c>
      <c r="N1" s="6" t="inlineStr">
        <is>
          <t>Dinner Option 2 (Veg Bhurji/Paneer)</t>
        </is>
      </c>
      <c r="O1" s="6" t="inlineStr">
        <is>
          <t>Dinner Option 3 (Light Khichdi/Soup)</t>
        </is>
      </c>
      <c r="P1" s="6" t="inlineStr">
        <is>
          <t>Pre / Post Workout Option</t>
        </is>
      </c>
      <c r="Q1" s="6" t="inlineStr">
        <is>
          <t>Planned Cals (kcal)</t>
        </is>
      </c>
      <c r="R1" s="6" t="inlineStr">
        <is>
          <t>Planned Protein (g)</t>
        </is>
      </c>
      <c r="S1" s="6" t="inlineStr">
        <is>
          <t>Planned Carbs (g)</t>
        </is>
      </c>
      <c r="T1" s="6" t="inlineStr">
        <is>
          <t>Planned Fat (g)</t>
        </is>
      </c>
      <c r="U1" s="6" t="inlineStr">
        <is>
          <t>Estimated Cost (₹)</t>
        </is>
      </c>
      <c r="V1" s="6" t="inlineStr">
        <is>
          <t>Cooking &amp; Kitchen Scale Notes</t>
        </is>
      </c>
    </row>
    <row r="2" ht="36" customHeight="1">
      <c r="A2" s="7" t="inlineStr">
        <is>
          <t>2026-10-24</t>
        </is>
      </c>
      <c r="B2" s="7" t="n">
        <v>1</v>
      </c>
      <c r="C2" s="7" t="inlineStr">
        <is>
          <t>Saturday</t>
        </is>
      </c>
      <c r="D2" s="8" t="inlineStr">
        <is>
          <t>Comfort Steamed Staples &amp; Bengaluru Chicken Curry</t>
        </is>
      </c>
      <c r="E2" s="8" t="inlineStr">
        <is>
          <t>Steamed Idlis (3 pcs, 110g) + Veg Sambar (150ml) + 2 Boiled Eggs (100g) [340 kcal, 19g P, 38g C, 12g F, ₹35]</t>
        </is>
      </c>
      <c r="F2" s="8" t="inlineStr">
        <is>
          <t>Steamed Idlis (3 pcs) + Veg Sambar + 1 cup warm sprouted moong salad (100g) [310 kcal, 13g P, 46g C, 5g F, ₹25]</t>
        </is>
      </c>
      <c r="G2" s="8" t="inlineStr">
        <is>
          <t>Ragi Dosa (2 medium, 120g) + Mint Chutney (30g) + 1 Boiled Egg [320 kcal, 14g P, 42g C, 11g F, ₹28]</t>
        </is>
      </c>
      <c r="H2" s="8" t="inlineStr">
        <is>
          <t>Tender Coconut Water (220ml) + Handful Roasted Chana (25g) [130 kcal, 5g P, 22g C, 2g F, ₹40] | Alt: Fresh Papaya slices (150g) + 5 soaked almonds [110 kcal, 3g P, 22g C, 3g F, ₹30]</t>
        </is>
      </c>
      <c r="I2" s="8" t="inlineStr">
        <is>
          <t>Sona Masoori Rice (150g cooked / 55g raw) + Bengaluru Chicken Curry (130g raw / 95g cooked meat) + French Beans Palya (130g) + Pepper Rasam [475 kcal, 34g P, 48g C, 14g F, ₹75]</t>
        </is>
      </c>
      <c r="J2" s="8" t="inlineStr">
        <is>
          <t>2 Soft Wheat Phulkas (80g) + Homestyle Egg Curry (2 eggs in onion-tomato gravy) + Cabbage Poriyal (140g) [440 kcal, 21g P, 48g C, 16g F, ₹40]</t>
        </is>
      </c>
      <c r="K2" s="8" t="inlineStr">
        <is>
          <t>Sona Masoori Rice (150g) + Thick Toor Dal Tadka (180g) + Paneer Palya (80g paneer) + Fresh Curd (100g) [480 kcal, 23g P, 54g C, 18g F, ₹55]</t>
        </is>
      </c>
      <c r="L2" s="8" t="inlineStr">
        <is>
          <t>Spiced Boiled Sundal / Chickpeas (80g) with mustard tempering &amp; lemon [140 kcal, 7g P, 22g C, 3g F, ₹20] | Alt: Roasted Makhana (30g) in 1/2 tsp ghee &amp; rock salt [130 kcal, 3g P, 21g C, 3.5g F, ₹25]</t>
        </is>
      </c>
      <c r="M2" s="8" t="inlineStr">
        <is>
          <t>2 Soft Whole Wheat Phulkas (75g) + Grilled/Pan Chicken Curry (100g meat) + Cucumber Tomato Salad (120g) [420 kcal, 31g P, 42g C, 12g F, ₹65]</t>
        </is>
      </c>
      <c r="N2" s="8" t="inlineStr">
        <is>
          <t>2 Phulkas (75g) + Fresh Paneer Bhurji (90g paneer with capsicum &amp; onion) + Tomato Clear Soup [440 kcal, 20g P, 42g C, 20g F, ₹55]</t>
        </is>
      </c>
      <c r="O2" s="8" t="inlineStr">
        <is>
          <t>Warm Rice-Moong Dal Khichdi (220g) + Fresh Curd (100g) + Steamed Beetroot Poriyal (100g) [380 kcal, 14g P, 58g C, 8g F, ₹35]</t>
        </is>
      </c>
      <c r="P2" s="8" t="inlineStr">
        <is>
          <t>Optional Pre: 1 small banana (80g) [70 kcal] • Post: 1 glass warm toned milk with turmeric (180ml) [95 kcal, 6g P]</t>
        </is>
      </c>
      <c r="Q2" s="9" t="n">
        <v>1505</v>
      </c>
      <c r="R2" s="9" t="n">
        <v>96</v>
      </c>
      <c r="S2" s="9" t="n">
        <v>172</v>
      </c>
      <c r="T2" s="9" t="n">
        <v>43</v>
      </c>
      <c r="U2" s="9" t="n">
        <v>235</v>
      </c>
      <c r="V2" s="8" t="inlineStr">
        <is>
          <t>Steam idlis in idli cooker for 10-12 mins. Weigh 110g cooked on kitchen scale. Zero plate on scale, measure 150g warm rice, then add 95g cooked chicken meat without bones.</t>
        </is>
      </c>
    </row>
    <row r="3" ht="36" customHeight="1">
      <c r="A3" s="10" t="inlineStr">
        <is>
          <t>2026-10-25</t>
        </is>
      </c>
      <c r="B3" s="10" t="n">
        <v>2</v>
      </c>
      <c r="C3" s="10" t="inlineStr">
        <is>
          <t>Sunday</t>
        </is>
      </c>
      <c r="D3" s="11" t="inlineStr">
        <is>
          <t>Iron-Rich Poha, Egg Curry &amp; Golden Turmeric Phulkas</t>
        </is>
      </c>
      <c r="E3" s="11" t="inlineStr">
        <is>
          <t>Vegetable Poha (160g cooked) tempered with mustard &amp; roasted peanuts (15g) + 1 Boiled Egg [330 kcal, 13g P, 44g C, 11g F, ₹28]</t>
        </is>
      </c>
      <c r="F3" s="11" t="inlineStr">
        <is>
          <t>Vegetable Poha (180g) + 1 glass warm toned milk (150ml) [310 kcal, 11g P, 48g C, 8g F, ₹24]</t>
        </is>
      </c>
      <c r="G3" s="11" t="inlineStr">
        <is>
          <t>Rolled Oats cooked in milk (40g oats + 180ml toned milk) with half diced apple [290 kcal, 12g P, 45g C, 6g F, ₹30]</t>
        </is>
      </c>
      <c r="H3" s="11" t="inlineStr">
        <is>
          <t>Spiced Majjige / Buttermilk (220ml) with grated ginger &amp; curry leaves [45 kcal, 3g P, 4g C, 1.5g F, ₹15] | Alt: 1 Crisp Guava or Apple (130g) with pinch of rock salt [75 kcal, 1.5g P, 18g C, 0.5g F, ₹20]</t>
        </is>
      </c>
      <c r="I3" s="11" t="inlineStr">
        <is>
          <t>2 Soft Phulkas (80g) + 2 Boiled Eggs in Onion-Tomato Gravy (120g gravy) + Ridge Gourd (Heerekayi) Palya (140g) [450 kcal, 22g P, 48g C, 17g F, ₹45]</t>
        </is>
      </c>
      <c r="J3" s="11" t="inlineStr">
        <is>
          <t>Sona Masoori Rice (150g) + Fish Curry (120g rohu/pomfret in light coconut gravy) + Beans Poriyal (120g) [460 kcal, 32g P, 46g C, 13g F, ₹80]</t>
        </is>
      </c>
      <c r="K3" s="11" t="inlineStr">
        <is>
          <t>Cooked Rice (150g) + Mixed Vegetable Sambar (180g) + Pan-seared Tofu or Paneer (80g) + Cucumber Slices [465 kcal, 21g P, 52g C, 17g F, ₹55]</t>
        </is>
      </c>
      <c r="L3" s="11" t="inlineStr">
        <is>
          <t>Boiled Sweet Corn (120g) with lemon squeeze &amp; chaat masala [120 kcal, 4g P, 24g C, 1.5g F, ₹20] | Alt: Roasted Kadale / Chana (30g) + Warm Elaichi Green Tea [125 kcal, 6g P, 18g C, 2.5g F, ₹15]</t>
        </is>
      </c>
      <c r="M3" s="11" t="inlineStr">
        <is>
          <t>2 Soft Phulkas (75g) + Fresh Paneer Bhurji (90g paneer, capsicum, tomato) + Warm Tomato Rasam (150ml) [445 kcal, 21g P, 44g C, 19g F, ₹60]</t>
        </is>
      </c>
      <c r="N3" s="11" t="inlineStr">
        <is>
          <t>2 Ragi Rotis (130g) + Chicken Curry (90g cooked meat) + Onion Cucumber Raita (80g) [430 kcal, 30g P, 46g C, 11g F, ₹70]</t>
        </is>
      </c>
      <c r="O3" s="11" t="inlineStr">
        <is>
          <t>Moong Dal Vegetable Dalia Khichdi (220g) + Fresh Curd (100g) [390 kcal, 16g P, 54g C, 9g F, ₹35]</t>
        </is>
      </c>
      <c r="P3" s="11" t="inlineStr">
        <is>
          <t>Optional Pre: 2 Medjool dates [80 kcal] • Post: 1 boiled egg white or 100g warm milk [55 kcal, 4g P]</t>
        </is>
      </c>
      <c r="Q3" s="12" t="n">
        <v>1390</v>
      </c>
      <c r="R3" s="12" t="n">
        <v>63</v>
      </c>
      <c r="S3" s="12" t="n">
        <v>164</v>
      </c>
      <c r="T3" s="12" t="n">
        <v>50</v>
      </c>
      <c r="U3" s="12" t="n">
        <v>168</v>
      </c>
      <c r="V3" s="11" t="inlineStr">
        <is>
          <t>Rinse thick poha in colander, drain well. Sauté with onion, curry leaves, carrots &amp; roasted peanuts. Prick boiled eggs gently before simmering in gravy to absorb rich flavours.</t>
        </is>
      </c>
    </row>
    <row r="4" ht="36" customHeight="1">
      <c r="A4" s="7" t="inlineStr">
        <is>
          <t>2026-10-26</t>
        </is>
      </c>
      <c r="B4" s="7" t="n">
        <v>3</v>
      </c>
      <c r="C4" s="7" t="inlineStr">
        <is>
          <t>Monday</t>
        </is>
      </c>
      <c r="D4" s="8" t="inlineStr">
        <is>
          <t>Bengaluru Rava Upma &amp; Fresh Coastal Home Curry</t>
        </is>
      </c>
      <c r="E4" s="8" t="inlineStr">
        <is>
          <t>Bengaluru Vegetable Rava Upma (180g cooked) with roasted peanuts + 1 Boiled Egg [340 kcal, 14g P, 44g C, 12g F, ₹26]</t>
        </is>
      </c>
      <c r="F4" s="8" t="inlineStr">
        <is>
          <t>Vegetable Upma (180g) + 1 glass warm toned milk (150ml) [320 kcal, 11g P, 48g C, 9g F, ₹24]</t>
        </is>
      </c>
      <c r="G4" s="8" t="inlineStr">
        <is>
          <t>Steamed Idlis (3 pcs) with Mint Toor Dal Chutney (40g) + 1 Boiled Egg [320 kcal, 15g P, 42g C, 9g F, ₹28]</t>
        </is>
      </c>
      <c r="H4" s="8" t="inlineStr">
        <is>
          <t>Fresh Fruit Bowl (150g watermelon or papaya) + 6 soaked almonds [110 kcal, 3g P, 22g C, 3g F, ₹30] | Alt: Tender Coconut Water (220ml) [45 kcal, 1g P, 10g C, 0g F, ₹35]</t>
        </is>
      </c>
      <c r="I4" s="8" t="inlineStr">
        <is>
          <t>Sona Masoori Rice (150g cooked) + Bengaluru Fish Curry (120g fresh fish in light gravy) + Cabbage &amp; Pea Poriyal (130g) + Rasam [450 kcal, 33g P, 46g C, 13g F, ₹80]</t>
        </is>
      </c>
      <c r="J4" s="8" t="inlineStr">
        <is>
          <t>2 Phulkas (80g) + Chicken Curry (95g cooked meat) + Cucumber Carrot Salad (100g) [440 kcal, 31g P, 44g C, 13g F, ₹65]</t>
        </is>
      </c>
      <c r="K4" s="8" t="inlineStr">
        <is>
          <t>Rice (150g) + Thick Chana Dal (180g) + Beans Palya (130g) + Fresh Curd (100g) [470 kcal, 22g P, 56g C, 15g F, ₹45]</t>
        </is>
      </c>
      <c r="L4" s="8" t="inlineStr">
        <is>
          <t>Roasted Puri Kadale / Chana (30g) + Warm Ginger Tea (100ml low-fat milk) [140 kcal, 6g P, 20g C, 3.5g F, ₹18] | Alt: Spiced Boiled Moong Sprouts (80g) with lime &amp; salt [110 kcal, 7g P, 18g C, 1g F, ₹15]</t>
        </is>
      </c>
      <c r="M4" s="8" t="inlineStr">
        <is>
          <t>2 Soft Phulkas (75g) + Soya Chunks &amp; Green Pea Curry (45g dry soya + 50g peas) + Fresh Curd (80g) [420 kcal, 29g P, 48g C, 9g F, ₹40]</t>
        </is>
      </c>
      <c r="N4" s="8" t="inlineStr">
        <is>
          <t>2 Phulkas (75g) + 2 Boiled Eggs in Homestyle Curry (100g) + Sliced Cucumber [410 kcal, 21g P, 42g C, 15g F, ₹38]</t>
        </is>
      </c>
      <c r="O4" s="8" t="inlineStr">
        <is>
          <t>2 Ragi Rotis (120g) + Mixed Vegetable Sambar (180ml) + Sautéed Palak (100g) [380 kcal, 14g P, 54g C, 8g F, ₹30]</t>
        </is>
      </c>
      <c r="P4" s="8" t="inlineStr">
        <is>
          <t>Optional Pre: 1 cup tender coconut water [45 kcal] • Post: 1 glass warm milk (150ml) [85 kcal, 5g P]</t>
        </is>
      </c>
      <c r="Q4" s="9" t="n">
        <v>1460</v>
      </c>
      <c r="R4" s="9" t="n">
        <v>85</v>
      </c>
      <c r="S4" s="9" t="n">
        <v>180</v>
      </c>
      <c r="T4" s="9" t="n">
        <v>40.5</v>
      </c>
      <c r="U4" s="9" t="n">
        <v>194</v>
      </c>
      <c r="V4" s="8" t="inlineStr">
        <is>
          <t>Dry roast semolina lightly. Tempered with mustard seeds, chana dal, green chillies &amp; mixed veggies. Use fresh local fish cuts (rohu, pomfret, or seer fish). Simmer gently for 8 mins.</t>
        </is>
      </c>
    </row>
    <row r="5" ht="36" customHeight="1">
      <c r="A5" s="10" t="inlineStr">
        <is>
          <t>2026-10-27</t>
        </is>
      </c>
      <c r="B5" s="10" t="n">
        <v>4</v>
      </c>
      <c r="C5" s="10" t="inlineStr">
        <is>
          <t>Tuesday</t>
        </is>
      </c>
      <c r="D5" s="11" t="inlineStr">
        <is>
          <t>Nourishing Rolled Oats &amp; Tender Chicken Palya</t>
        </is>
      </c>
      <c r="E5" s="11" t="inlineStr">
        <is>
          <t>Warm Rolled Oats (40g dry + 180ml toned milk) + 1 Boiled Egg + Apple slices (50g) [345 kcal, 18g P, 46g C, 10g F, ₹35]</t>
        </is>
      </c>
      <c r="F5" s="11" t="inlineStr">
        <is>
          <t>Vegetable Poha (160g cooked) + 2 Boiled Eggs [360 kcal, 18g P, 42g C, 14g F, ₹32]</t>
        </is>
      </c>
      <c r="G5" s="11" t="inlineStr">
        <is>
          <t>2 Plain Dosas (120g) + Toor Dal Sambar (150ml) + 1 cup warm sprouted moong [330 kcal, 14g P, 48g C, 7g F, ₹25]</t>
        </is>
      </c>
      <c r="H5" s="11" t="inlineStr">
        <is>
          <t>Tender Coconut Water (220ml) + 5 Soaked Almonds [95 kcal, 3g P, 12g C, 4g F, ₹40] | Alt: Fresh Spiced Buttermilk (220ml) with coriander &amp; rock salt [45 kcal, 3g P, 4g C, 1.5g F, ₹15]</t>
        </is>
      </c>
      <c r="I5" s="11" t="inlineStr">
        <is>
          <t>Sona Masoori Rice (150g cooked) + Tender Chicken Curry (130g raw / 95g meat) + Palak (Spinach) Palya (140g) + Rasam [470 kcal, 35g P, 46g C, 13g F, ₹75]</t>
        </is>
      </c>
      <c r="J5" s="11" t="inlineStr">
        <is>
          <t>2 Soft Phulkas (80g) + Fresh Paneer Curry (85g paneer in light gravy) + French Beans Palya (120g) [450 kcal, 21g P, 44g C, 19g F, ₹55]</t>
        </is>
      </c>
      <c r="K5" s="11" t="inlineStr">
        <is>
          <t>Rice (150g) + Toor Dal Tadka (180g) + 2 Boiled Eggs + Beetroot Poriyal (120g) [460 kcal, 25g P, 52g C, 14g F, ₹42]</t>
        </is>
      </c>
      <c r="L5" s="11" t="inlineStr">
        <is>
          <t>Roasted Makhana (30g) + Hot Green Tea with lemon [130 kcal, 3g P, 21g C, 3.5g F, ₹25] | Alt: Boiled Chickpeas Sundal (70g) with mustard &amp; curry leaves [125 kcal, 6g P, 20g C, 2.5g F, ₹18]</t>
        </is>
      </c>
      <c r="M5" s="11" t="inlineStr">
        <is>
          <t>2 Soft Phulkas (75g) + 2 Boiled Eggs in Tomato Onion Curry + Cucumber Salad (100g) [415 kcal, 21g P, 42g C, 15g F, ₹38]</t>
        </is>
      </c>
      <c r="N5" s="11" t="inlineStr">
        <is>
          <t>2 Phulkas (75g) + Grilled Chicken Strips (100g cooked) + Mixed Sautéed Capsicum &amp; Onions [425 kcal, 32g P, 40g C, 11g F, ₹65]</t>
        </is>
      </c>
      <c r="O5" s="11" t="inlineStr">
        <is>
          <t>Warm Moong Dal Vegetable Khichdi (220g) + Fresh Curd (100g) [380 kcal, 15g P, 56g C, 8g F, ₹35]</t>
        </is>
      </c>
      <c r="P5" s="11" t="inlineStr">
        <is>
          <t>Optional Pre: 1 small banana [70 kcal] • Post: 1 cup warm turmeric milk [90 kcal, 6g P]</t>
        </is>
      </c>
      <c r="Q5" s="12" t="n">
        <v>1455</v>
      </c>
      <c r="R5" s="12" t="n">
        <v>80</v>
      </c>
      <c r="S5" s="12" t="n">
        <v>167</v>
      </c>
      <c r="T5" s="12" t="n">
        <v>45.5</v>
      </c>
      <c r="U5" s="12" t="n">
        <v>213</v>
      </c>
      <c r="V5" s="11" t="inlineStr">
        <is>
          <t>Cook oats in milk for 4 mins on medium flame. Stir in pinch of cinnamon powder. Weigh raw boneless chicken (130g). Steam spinach lightly with mustard tempering.</t>
        </is>
      </c>
    </row>
    <row r="6" ht="36" customHeight="1">
      <c r="A6" s="7" t="inlineStr">
        <is>
          <t>2026-10-28</t>
        </is>
      </c>
      <c r="B6" s="7" t="n">
        <v>5</v>
      </c>
      <c r="C6" s="7" t="inlineStr">
        <is>
          <t>Wednesday</t>
        </is>
      </c>
      <c r="D6" s="8" t="inlineStr">
        <is>
          <t>Calcium-Rich Ragi Dosa &amp; Fresh Country Egg Feast</t>
        </is>
      </c>
      <c r="E6" s="8" t="inlineStr">
        <is>
          <t>Ragi Dosa (2 medium, 120g) + Coconut Mint Chutney (30g) + 2 Boiled Eggs [350 kcal, 19g P, 40g C, 13g F, ₹35]</t>
        </is>
      </c>
      <c r="F6" s="8" t="inlineStr">
        <is>
          <t>Steamed Idlis (3 pcs, 110g) + Vegetable Sambar (150ml) + 1 Boiled Egg [310 kcal, 13g P, 44g C, 8g F, ₹25]</t>
        </is>
      </c>
      <c r="G6" s="8" t="inlineStr">
        <is>
          <t>Vegetable Upma (180g) + Warm Toned Milk (150ml) [320 kcal, 11g P, 48g C, 9g F, ₹22]</t>
        </is>
      </c>
      <c r="H6" s="8" t="inlineStr">
        <is>
          <t>Fresh Seasonal Fruit (1 Medium Apple or 150g Papaya) + 6 Almonds [115 kcal, 3g P, 22g C, 3.5g F, ₹30] | Alt: Tender Coconut Water (220ml) [45 kcal, 1g P, 10g C, 0g F, ₹35]</t>
        </is>
      </c>
      <c r="I6" s="8" t="inlineStr">
        <is>
          <t>2 Soft Phulkas (80g) + Homestyle Egg Curry (2 eggs) + Cabbage &amp; Carrot Poriyal (140g) + Rasam [445 kcal, 22g P, 48g C, 16g F, ₹42]</t>
        </is>
      </c>
      <c r="J6" s="8" t="inlineStr">
        <is>
          <t>Sona Masoori Rice (150g) + Bengaluru Chicken Curry (95g meat) + Beans Palya (120g) [475 kcal, 34g P, 48g C, 14g F, ₹75]</t>
        </is>
      </c>
      <c r="K6" s="8" t="inlineStr">
        <is>
          <t>Rice (150g) + Thick Toor Dal Tadka (180g) + Fresh Curd (100g) + Tomato Cucumber Salad [440 kcal, 18g P, 56g C, 14g F, ₹40]</t>
        </is>
      </c>
      <c r="L6" s="8" t="inlineStr">
        <is>
          <t>Spiced Boiled Sundal / Chickpeas (80g) with lime [140 kcal, 7g P, 22g C, 3g F, ₹20] | Alt: Roasted Makhana (30g) in 1/2 tsp ghee &amp; rock salt [130 kcal, 3g P, 21g C, 3.5g F, ₹25]</t>
        </is>
      </c>
      <c r="M6" s="8" t="inlineStr">
        <is>
          <t>2 Soft Phulkas (75g) + Home Chicken Curry (100g meat) + Cucumber Salad (100g) [420 kcal, 31g P, 42g C, 12g F, ₹65]</t>
        </is>
      </c>
      <c r="N6" s="8" t="inlineStr">
        <is>
          <t>2 Phulkas (75g) + Fresh Paneer Bhurji (90g paneer, capsicum, onion) + Clear Soup [440 kcal, 20g P, 42g C, 20g F, ₹55]</t>
        </is>
      </c>
      <c r="O6" s="8" t="inlineStr">
        <is>
          <t>Rice-Moong Dal Khichdi (220g) + Curd (100g) + Lauki Sabzi (120g) [385 kcal, 14g P, 58g C, 8.5g F, ₹35]</t>
        </is>
      </c>
      <c r="P6" s="8" t="inlineStr">
        <is>
          <t>Optional Pre: 1 cup tender coconut water [45 kcal] • Post: 1 glass warm milk (150ml) [85 kcal, 5g P]</t>
        </is>
      </c>
      <c r="Q6" s="9" t="n">
        <v>1470</v>
      </c>
      <c r="R6" s="9" t="n">
        <v>82</v>
      </c>
      <c r="S6" s="9" t="n">
        <v>174</v>
      </c>
      <c r="T6" s="9" t="n">
        <v>47.5</v>
      </c>
      <c r="U6" s="9" t="n">
        <v>192</v>
      </c>
      <c r="V6" s="8" t="inlineStr">
        <is>
          <t>Mix ragi flour with equal water, pinch of salt, cumin seeds &amp; chopped onion. Pour on medium hot tawa. Cook vegetables in minimum oil with mustard seeds, curry leaves &amp; grated fresh coconut.</t>
        </is>
      </c>
    </row>
    <row r="7" ht="36" customHeight="1">
      <c r="A7" s="10" t="inlineStr">
        <is>
          <t>2026-10-29</t>
        </is>
      </c>
      <c r="B7" s="10" t="n">
        <v>6</v>
      </c>
      <c r="C7" s="10" t="inlineStr">
        <is>
          <t>Thursday</t>
        </is>
      </c>
      <c r="D7" s="11" t="inlineStr">
        <is>
          <t>High-Fiber Soya Chunks &amp; Comfort Idli Sambar</t>
        </is>
      </c>
      <c r="E7" s="11" t="inlineStr">
        <is>
          <t>Steamed Idlis (3 pcs, 110g) + Vegetable Sambar (150ml) + 2 Boiled Eggs [340 kcal, 19g P, 38g C, 12g F, ₹35]</t>
        </is>
      </c>
      <c r="F7" s="11" t="inlineStr">
        <is>
          <t>Vegetable Poha (160g cooked) + 1 Boiled Egg [310 kcal, 12g P, 44g C, 9g F, ₹26]</t>
        </is>
      </c>
      <c r="G7" s="11" t="inlineStr">
        <is>
          <t>Rolled Oats cooked in toned milk (40g + 180ml milk) with 1/2 apple [290 kcal, 12g P, 45g C, 6g F, ₹30]</t>
        </is>
      </c>
      <c r="H7" s="11" t="inlineStr">
        <is>
          <t>Spiced Buttermilk / Majjige (220ml) with curry leaves &amp; ginger [45 kcal, 3g P, 4g C, 1.5g F, ₹15] | Alt: Fresh Papaya slices (150g) + 5 almonds [110 kcal, 3g P, 22g C, 3g F, ₹28]</t>
        </is>
      </c>
      <c r="I7" s="11" t="inlineStr">
        <is>
          <t>Sona Masoori Rice (150g cooked) + Soya Chunks Curry (45g dry soya chunks cooked in onion-tomato gravy) + French Beans Palya (130g) + Rasam [460 kcal, 31g P, 56g C, 9g F, ₹42]</t>
        </is>
      </c>
      <c r="J7" s="11" t="inlineStr">
        <is>
          <t>2 Phulkas (80g) + Chicken Curry (95g meat) + Cabbage Poriyal (120g) [440 kcal, 31g P, 44g C, 13g F, ₹65]</t>
        </is>
      </c>
      <c r="K7" s="11" t="inlineStr">
        <is>
          <t>Rice (150g) + Thick Toor Dal (180g) + 2 Boiled Eggs + Ridge Gourd Palya (120g) [455 kcal, 24g P, 52g C, 14g F, ₹40]</t>
        </is>
      </c>
      <c r="L7" s="11" t="inlineStr">
        <is>
          <t>Roasted Kadale / Chana (30g) + Hot Elaichi Tea (100ml milk) [140 kcal, 6g P, 20g C, 3.5g F, ₹18] | Alt: Roasted Makhana (30g) in ghee &amp; rock salt [130 kcal, 3g P, 21g C, 3.5g F, ₹25]</t>
        </is>
      </c>
      <c r="M7" s="11" t="inlineStr">
        <is>
          <t>2 Soft Phulkas (75g) + 2 Boiled Eggs in Mild Curry + Cucumber Carrot Salad (120g) [415 kcal, 21g P, 42g C, 15g F, ₹38]</t>
        </is>
      </c>
      <c r="N7" s="11" t="inlineStr">
        <is>
          <t>2 Phulkas (75g) + Paneer Bhurji (90g paneer, capsicum, tomato) + Warm Soup [445 kcal, 20g P, 44g C, 19g F, ₹58]</t>
        </is>
      </c>
      <c r="O7" s="11" t="inlineStr">
        <is>
          <t>2 Ragi Rotis (120g) + Chicken Curry (90g meat) + Cucumber Slices [425 kcal, 30g P, 46g C, 11g F, ₹68]</t>
        </is>
      </c>
      <c r="P7" s="11" t="inlineStr">
        <is>
          <t>Optional Pre: 1 small banana [70 kcal] • Post: 1 glass warm milk [90 kcal, 6g P]</t>
        </is>
      </c>
      <c r="Q7" s="12" t="n">
        <v>1400</v>
      </c>
      <c r="R7" s="12" t="n">
        <v>80</v>
      </c>
      <c r="S7" s="12" t="n">
        <v>160</v>
      </c>
      <c r="T7" s="12" t="n">
        <v>41</v>
      </c>
      <c r="U7" s="12" t="n">
        <v>151</v>
      </c>
      <c r="V7" s="11" t="inlineStr">
        <is>
          <t>Dip idlis in piping hot sambar. Eggs provide complete amino acid profile. Soak soya chunks in warm water for 15 mins. Squeeze out bitter water completely before cooking.</t>
        </is>
      </c>
    </row>
    <row r="8" ht="36" customHeight="1">
      <c r="A8" s="7" t="inlineStr">
        <is>
          <t>2026-10-30</t>
        </is>
      </c>
      <c r="B8" s="7" t="n">
        <v>7</v>
      </c>
      <c r="C8" s="7" t="inlineStr">
        <is>
          <t>Friday</t>
        </is>
      </c>
      <c r="D8" s="8" t="inlineStr">
        <is>
          <t>Comfort Steamed Staples &amp; Bengaluru Chicken Curry</t>
        </is>
      </c>
      <c r="E8" s="8" t="inlineStr">
        <is>
          <t>Steamed Idlis (3 pcs, 110g) + Veg Sambar (150ml) + 2 Boiled Eggs (100g) [340 kcal, 19g P, 38g C, 12g F, ₹35]</t>
        </is>
      </c>
      <c r="F8" s="8" t="inlineStr">
        <is>
          <t>Steamed Idlis (3 pcs) + Veg Sambar + 1 cup warm sprouted moong salad (100g) [310 kcal, 13g P, 46g C, 5g F, ₹25]</t>
        </is>
      </c>
      <c r="G8" s="8" t="inlineStr">
        <is>
          <t>Ragi Dosa (2 medium, 120g) + Mint Chutney (30g) + 1 Boiled Egg [320 kcal, 14g P, 42g C, 11g F, ₹28]</t>
        </is>
      </c>
      <c r="H8" s="8" t="inlineStr">
        <is>
          <t>Tender Coconut Water (220ml) + Handful Roasted Chana (25g) [130 kcal, 5g P, 22g C, 2g F, ₹40] | Alt: Fresh Papaya slices (150g) + 5 soaked almonds [110 kcal, 3g P, 22g C, 3g F, ₹30]</t>
        </is>
      </c>
      <c r="I8" s="8" t="inlineStr">
        <is>
          <t>Sona Masoori Rice (150g cooked / 55g raw) + Bengaluru Chicken Curry (130g raw / 95g cooked meat) + French Beans Palya (130g) + Pepper Rasam [475 kcal, 34g P, 48g C, 14g F, ₹75]</t>
        </is>
      </c>
      <c r="J8" s="8" t="inlineStr">
        <is>
          <t>2 Soft Wheat Phulkas (80g) + Homestyle Egg Curry (2 eggs in onion-tomato gravy) + Cabbage Poriyal (140g) [440 kcal, 21g P, 48g C, 16g F, ₹40]</t>
        </is>
      </c>
      <c r="K8" s="8" t="inlineStr">
        <is>
          <t>Sona Masoori Rice (150g) + Thick Toor Dal Tadka (180g) + Paneer Palya (80g paneer) + Fresh Curd (100g) [480 kcal, 23g P, 54g C, 18g F, ₹55]</t>
        </is>
      </c>
      <c r="L8" s="8" t="inlineStr">
        <is>
          <t>Spiced Boiled Sundal / Chickpeas (80g) with mustard tempering &amp; lemon [140 kcal, 7g P, 22g C, 3g F, ₹20] | Alt: Roasted Makhana (30g) in 1/2 tsp ghee &amp; rock salt [130 kcal, 3g P, 21g C, 3.5g F, ₹25]</t>
        </is>
      </c>
      <c r="M8" s="8" t="inlineStr">
        <is>
          <t>2 Soft Whole Wheat Phulkas (75g) + Grilled/Pan Chicken Curry (100g meat) + Cucumber Tomato Salad (120g) [420 kcal, 31g P, 42g C, 12g F, ₹65]</t>
        </is>
      </c>
      <c r="N8" s="8" t="inlineStr">
        <is>
          <t>2 Phulkas (75g) + Fresh Paneer Bhurji (90g paneer with capsicum &amp; onion) + Tomato Clear Soup [440 kcal, 20g P, 42g C, 20g F, ₹55]</t>
        </is>
      </c>
      <c r="O8" s="8" t="inlineStr">
        <is>
          <t>Warm Rice-Moong Dal Khichdi (220g) + Fresh Curd (100g) + Steamed Beetroot Poriyal (100g) [380 kcal, 14g P, 58g C, 8g F, ₹35]</t>
        </is>
      </c>
      <c r="P8" s="8" t="inlineStr">
        <is>
          <t>Optional Pre: 1 small banana (80g) [70 kcal] • Post: 1 glass warm toned milk with turmeric (180ml) [95 kcal, 6g P]</t>
        </is>
      </c>
      <c r="Q8" s="9" t="n">
        <v>1505</v>
      </c>
      <c r="R8" s="9" t="n">
        <v>96</v>
      </c>
      <c r="S8" s="9" t="n">
        <v>172</v>
      </c>
      <c r="T8" s="9" t="n">
        <v>43</v>
      </c>
      <c r="U8" s="9" t="n">
        <v>235</v>
      </c>
      <c r="V8" s="8" t="inlineStr">
        <is>
          <t>Steam idlis in idli cooker for 10-12 mins. Weigh 110g cooked on kitchen scale. Zero plate on scale, measure 150g warm rice, then add 95g cooked chicken meat without bones.</t>
        </is>
      </c>
    </row>
    <row r="9" ht="36" customHeight="1">
      <c r="A9" s="10" t="inlineStr">
        <is>
          <t>2026-10-31</t>
        </is>
      </c>
      <c r="B9" s="10" t="n">
        <v>8</v>
      </c>
      <c r="C9" s="10" t="inlineStr">
        <is>
          <t>Saturday</t>
        </is>
      </c>
      <c r="D9" s="11" t="inlineStr">
        <is>
          <t>Iron-Rich Poha, Egg Curry &amp; Golden Turmeric Phulkas</t>
        </is>
      </c>
      <c r="E9" s="11" t="inlineStr">
        <is>
          <t>Vegetable Poha (160g cooked) tempered with mustard &amp; roasted peanuts (15g) + 1 Boiled Egg [330 kcal, 13g P, 44g C, 11g F, ₹28]</t>
        </is>
      </c>
      <c r="F9" s="11" t="inlineStr">
        <is>
          <t>Vegetable Poha (180g) + 1 glass warm toned milk (150ml) [310 kcal, 11g P, 48g C, 8g F, ₹24]</t>
        </is>
      </c>
      <c r="G9" s="11" t="inlineStr">
        <is>
          <t>Rolled Oats cooked in milk (40g oats + 180ml toned milk) with half diced apple [290 kcal, 12g P, 45g C, 6g F, ₹30]</t>
        </is>
      </c>
      <c r="H9" s="11" t="inlineStr">
        <is>
          <t>Spiced Majjige / Buttermilk (220ml) with grated ginger &amp; curry leaves [45 kcal, 3g P, 4g C, 1.5g F, ₹15] | Alt: 1 Crisp Guava or Apple (130g) with pinch of rock salt [75 kcal, 1.5g P, 18g C, 0.5g F, ₹20]</t>
        </is>
      </c>
      <c r="I9" s="11" t="inlineStr">
        <is>
          <t>2 Soft Phulkas (80g) + 2 Boiled Eggs in Onion-Tomato Gravy (120g gravy) + Ridge Gourd (Heerekayi) Palya (140g) [450 kcal, 22g P, 48g C, 17g F, ₹45]</t>
        </is>
      </c>
      <c r="J9" s="11" t="inlineStr">
        <is>
          <t>Sona Masoori Rice (150g) + Fish Curry (120g rohu/pomfret in light coconut gravy) + Beans Poriyal (120g) [460 kcal, 32g P, 46g C, 13g F, ₹80]</t>
        </is>
      </c>
      <c r="K9" s="11" t="inlineStr">
        <is>
          <t>Cooked Rice (150g) + Mixed Vegetable Sambar (180g) + Pan-seared Tofu or Paneer (80g) + Cucumber Slices [465 kcal, 21g P, 52g C, 17g F, ₹55]</t>
        </is>
      </c>
      <c r="L9" s="11" t="inlineStr">
        <is>
          <t>Boiled Sweet Corn (120g) with lemon squeeze &amp; chaat masala [120 kcal, 4g P, 24g C, 1.5g F, ₹20] | Alt: Roasted Kadale / Chana (30g) + Warm Elaichi Green Tea [125 kcal, 6g P, 18g C, 2.5g F, ₹15]</t>
        </is>
      </c>
      <c r="M9" s="11" t="inlineStr">
        <is>
          <t>2 Soft Phulkas (75g) + Fresh Paneer Bhurji (90g paneer, capsicum, tomato) + Warm Tomato Rasam (150ml) [445 kcal, 21g P, 44g C, 19g F, ₹60]</t>
        </is>
      </c>
      <c r="N9" s="11" t="inlineStr">
        <is>
          <t>2 Ragi Rotis (130g) + Chicken Curry (90g cooked meat) + Onion Cucumber Raita (80g) [430 kcal, 30g P, 46g C, 11g F, ₹70]</t>
        </is>
      </c>
      <c r="O9" s="11" t="inlineStr">
        <is>
          <t>Moong Dal Vegetable Dalia Khichdi (220g) + Fresh Curd (100g) [390 kcal, 16g P, 54g C, 9g F, ₹35]</t>
        </is>
      </c>
      <c r="P9" s="11" t="inlineStr">
        <is>
          <t>Optional Pre: 2 Medjool dates [80 kcal] • Post: 1 boiled egg white or 100g warm milk [55 kcal, 4g P]</t>
        </is>
      </c>
      <c r="Q9" s="12" t="n">
        <v>1390</v>
      </c>
      <c r="R9" s="12" t="n">
        <v>63</v>
      </c>
      <c r="S9" s="12" t="n">
        <v>164</v>
      </c>
      <c r="T9" s="12" t="n">
        <v>50</v>
      </c>
      <c r="U9" s="12" t="n">
        <v>168</v>
      </c>
      <c r="V9" s="11" t="inlineStr">
        <is>
          <t>Rinse thick poha in colander, drain well. Sauté with onion, curry leaves, carrots &amp; roasted peanuts. Prick boiled eggs gently before simmering in gravy to absorb rich flavours.</t>
        </is>
      </c>
    </row>
    <row r="10" ht="36" customHeight="1">
      <c r="A10" s="7" t="inlineStr">
        <is>
          <t>2026-11-01</t>
        </is>
      </c>
      <c r="B10" s="7" t="n">
        <v>9</v>
      </c>
      <c r="C10" s="7" t="inlineStr">
        <is>
          <t>Sunday</t>
        </is>
      </c>
      <c r="D10" s="8" t="inlineStr">
        <is>
          <t>Bengaluru Rava Upma &amp; Fresh Coastal Home Curry</t>
        </is>
      </c>
      <c r="E10" s="8" t="inlineStr">
        <is>
          <t>Bengaluru Vegetable Rava Upma (180g cooked) with roasted peanuts + 1 Boiled Egg [340 kcal, 14g P, 44g C, 12g F, ₹26]</t>
        </is>
      </c>
      <c r="F10" s="8" t="inlineStr">
        <is>
          <t>Vegetable Upma (180g) + 1 glass warm toned milk (150ml) [320 kcal, 11g P, 48g C, 9g F, ₹24]</t>
        </is>
      </c>
      <c r="G10" s="8" t="inlineStr">
        <is>
          <t>Steamed Idlis (3 pcs) with Mint Toor Dal Chutney (40g) + 1 Boiled Egg [320 kcal, 15g P, 42g C, 9g F, ₹28]</t>
        </is>
      </c>
      <c r="H10" s="8" t="inlineStr">
        <is>
          <t>Fresh Fruit Bowl (150g watermelon or papaya) + 6 soaked almonds [110 kcal, 3g P, 22g C, 3g F, ₹30] | Alt: Tender Coconut Water (220ml) [45 kcal, 1g P, 10g C, 0g F, ₹35]</t>
        </is>
      </c>
      <c r="I10" s="8" t="inlineStr">
        <is>
          <t>Sona Masoori Rice (150g cooked) + Bengaluru Fish Curry (120g fresh fish in light gravy) + Cabbage &amp; Pea Poriyal (130g) + Rasam [450 kcal, 33g P, 46g C, 13g F, ₹80]</t>
        </is>
      </c>
      <c r="J10" s="8" t="inlineStr">
        <is>
          <t>2 Phulkas (80g) + Chicken Curry (95g cooked meat) + Cucumber Carrot Salad (100g) [440 kcal, 31g P, 44g C, 13g F, ₹65]</t>
        </is>
      </c>
      <c r="K10" s="8" t="inlineStr">
        <is>
          <t>Rice (150g) + Thick Chana Dal (180g) + Beans Palya (130g) + Fresh Curd (100g) [470 kcal, 22g P, 56g C, 15g F, ₹45]</t>
        </is>
      </c>
      <c r="L10" s="8" t="inlineStr">
        <is>
          <t>Roasted Puri Kadale / Chana (30g) + Warm Ginger Tea (100ml low-fat milk) [140 kcal, 6g P, 20g C, 3.5g F, ₹18] | Alt: Spiced Boiled Moong Sprouts (80g) with lime &amp; salt [110 kcal, 7g P, 18g C, 1g F, ₹15]</t>
        </is>
      </c>
      <c r="M10" s="8" t="inlineStr">
        <is>
          <t>2 Soft Phulkas (75g) + Soya Chunks &amp; Green Pea Curry (45g dry soya + 50g peas) + Fresh Curd (80g) [420 kcal, 29g P, 48g C, 9g F, ₹40]</t>
        </is>
      </c>
      <c r="N10" s="8" t="inlineStr">
        <is>
          <t>2 Phulkas (75g) + 2 Boiled Eggs in Homestyle Curry (100g) + Sliced Cucumber [410 kcal, 21g P, 42g C, 15g F, ₹38]</t>
        </is>
      </c>
      <c r="O10" s="8" t="inlineStr">
        <is>
          <t>2 Ragi Rotis (120g) + Mixed Vegetable Sambar (180ml) + Sautéed Palak (100g) [380 kcal, 14g P, 54g C, 8g F, ₹30]</t>
        </is>
      </c>
      <c r="P10" s="8" t="inlineStr">
        <is>
          <t>Optional Pre: 1 cup tender coconut water [45 kcal] • Post: 1 glass warm milk (150ml) [85 kcal, 5g P]</t>
        </is>
      </c>
      <c r="Q10" s="9" t="n">
        <v>1460</v>
      </c>
      <c r="R10" s="9" t="n">
        <v>85</v>
      </c>
      <c r="S10" s="9" t="n">
        <v>180</v>
      </c>
      <c r="T10" s="9" t="n">
        <v>40.5</v>
      </c>
      <c r="U10" s="9" t="n">
        <v>194</v>
      </c>
      <c r="V10" s="8" t="inlineStr">
        <is>
          <t>Dry roast semolina lightly. Tempered with mustard seeds, chana dal, green chillies &amp; mixed veggies. Use fresh local fish cuts (rohu, pomfret, or seer fish). Simmer gently for 8 mins.</t>
        </is>
      </c>
    </row>
    <row r="11" ht="36" customHeight="1">
      <c r="A11" s="10" t="inlineStr">
        <is>
          <t>2026-11-02</t>
        </is>
      </c>
      <c r="B11" s="10" t="n">
        <v>10</v>
      </c>
      <c r="C11" s="10" t="inlineStr">
        <is>
          <t>Monday</t>
        </is>
      </c>
      <c r="D11" s="11" t="inlineStr">
        <is>
          <t>Nourishing Rolled Oats &amp; Tender Chicken Palya</t>
        </is>
      </c>
      <c r="E11" s="11" t="inlineStr">
        <is>
          <t>Warm Rolled Oats (40g dry + 180ml toned milk) + 1 Boiled Egg + Apple slices (50g) [345 kcal, 18g P, 46g C, 10g F, ₹35]</t>
        </is>
      </c>
      <c r="F11" s="11" t="inlineStr">
        <is>
          <t>Vegetable Poha (160g cooked) + 2 Boiled Eggs [360 kcal, 18g P, 42g C, 14g F, ₹32]</t>
        </is>
      </c>
      <c r="G11" s="11" t="inlineStr">
        <is>
          <t>2 Plain Dosas (120g) + Toor Dal Sambar (150ml) + 1 cup warm sprouted moong [330 kcal, 14g P, 48g C, 7g F, ₹25]</t>
        </is>
      </c>
      <c r="H11" s="11" t="inlineStr">
        <is>
          <t>Tender Coconut Water (220ml) + 5 Soaked Almonds [95 kcal, 3g P, 12g C, 4g F, ₹40] | Alt: Fresh Spiced Buttermilk (220ml) with coriander &amp; rock salt [45 kcal, 3g P, 4g C, 1.5g F, ₹15]</t>
        </is>
      </c>
      <c r="I11" s="11" t="inlineStr">
        <is>
          <t>Sona Masoori Rice (150g cooked) + Tender Chicken Curry (130g raw / 95g meat) + Palak (Spinach) Palya (140g) + Rasam [470 kcal, 35g P, 46g C, 13g F, ₹75]</t>
        </is>
      </c>
      <c r="J11" s="11" t="inlineStr">
        <is>
          <t>2 Soft Phulkas (80g) + Fresh Paneer Curry (85g paneer in light gravy) + French Beans Palya (120g) [450 kcal, 21g P, 44g C, 19g F, ₹55]</t>
        </is>
      </c>
      <c r="K11" s="11" t="inlineStr">
        <is>
          <t>Rice (150g) + Toor Dal Tadka (180g) + 2 Boiled Eggs + Beetroot Poriyal (120g) [460 kcal, 25g P, 52g C, 14g F, ₹42]</t>
        </is>
      </c>
      <c r="L11" s="11" t="inlineStr">
        <is>
          <t>Roasted Makhana (30g) + Hot Green Tea with lemon [130 kcal, 3g P, 21g C, 3.5g F, ₹25] | Alt: Boiled Chickpeas Sundal (70g) with mustard &amp; curry leaves [125 kcal, 6g P, 20g C, 2.5g F, ₹18]</t>
        </is>
      </c>
      <c r="M11" s="11" t="inlineStr">
        <is>
          <t>2 Soft Phulkas (75g) + 2 Boiled Eggs in Tomato Onion Curry + Cucumber Salad (100g) [415 kcal, 21g P, 42g C, 15g F, ₹38]</t>
        </is>
      </c>
      <c r="N11" s="11" t="inlineStr">
        <is>
          <t>2 Phulkas (75g) + Grilled Chicken Strips (100g cooked) + Mixed Sautéed Capsicum &amp; Onions [425 kcal, 32g P, 40g C, 11g F, ₹65]</t>
        </is>
      </c>
      <c r="O11" s="11" t="inlineStr">
        <is>
          <t>Warm Moong Dal Vegetable Khichdi (220g) + Fresh Curd (100g) [380 kcal, 15g P, 56g C, 8g F, ₹35]</t>
        </is>
      </c>
      <c r="P11" s="11" t="inlineStr">
        <is>
          <t>Optional Pre: 1 small banana [70 kcal] • Post: 1 cup warm turmeric milk [90 kcal, 6g P]</t>
        </is>
      </c>
      <c r="Q11" s="12" t="n">
        <v>1455</v>
      </c>
      <c r="R11" s="12" t="n">
        <v>80</v>
      </c>
      <c r="S11" s="12" t="n">
        <v>167</v>
      </c>
      <c r="T11" s="12" t="n">
        <v>45.5</v>
      </c>
      <c r="U11" s="12" t="n">
        <v>213</v>
      </c>
      <c r="V11" s="11" t="inlineStr">
        <is>
          <t>Cook oats in milk for 4 mins on medium flame. Stir in pinch of cinnamon powder. Weigh raw boneless chicken (130g). Steam spinach lightly with mustard tempering.</t>
        </is>
      </c>
    </row>
    <row r="12" ht="36" customHeight="1">
      <c r="A12" s="7" t="inlineStr">
        <is>
          <t>2026-11-03</t>
        </is>
      </c>
      <c r="B12" s="7" t="n">
        <v>11</v>
      </c>
      <c r="C12" s="7" t="inlineStr">
        <is>
          <t>Tuesday</t>
        </is>
      </c>
      <c r="D12" s="8" t="inlineStr">
        <is>
          <t>Calcium-Rich Ragi Dosa &amp; Fresh Country Egg Feast</t>
        </is>
      </c>
      <c r="E12" s="8" t="inlineStr">
        <is>
          <t>Ragi Dosa (2 medium, 120g) + Coconut Mint Chutney (30g) + 2 Boiled Eggs [350 kcal, 19g P, 40g C, 13g F, ₹35]</t>
        </is>
      </c>
      <c r="F12" s="8" t="inlineStr">
        <is>
          <t>Steamed Idlis (3 pcs, 110g) + Vegetable Sambar (150ml) + 1 Boiled Egg [310 kcal, 13g P, 44g C, 8g F, ₹25]</t>
        </is>
      </c>
      <c r="G12" s="8" t="inlineStr">
        <is>
          <t>Vegetable Upma (180g) + Warm Toned Milk (150ml) [320 kcal, 11g P, 48g C, 9g F, ₹22]</t>
        </is>
      </c>
      <c r="H12" s="8" t="inlineStr">
        <is>
          <t>Fresh Seasonal Fruit (1 Medium Apple or 150g Papaya) + 6 Almonds [115 kcal, 3g P, 22g C, 3.5g F, ₹30] | Alt: Tender Coconut Water (220ml) [45 kcal, 1g P, 10g C, 0g F, ₹35]</t>
        </is>
      </c>
      <c r="I12" s="8" t="inlineStr">
        <is>
          <t>2 Soft Phulkas (80g) + Homestyle Egg Curry (2 eggs) + Cabbage &amp; Carrot Poriyal (140g) + Rasam [445 kcal, 22g P, 48g C, 16g F, ₹42]</t>
        </is>
      </c>
      <c r="J12" s="8" t="inlineStr">
        <is>
          <t>Sona Masoori Rice (150g) + Bengaluru Chicken Curry (95g meat) + Beans Palya (120g) [475 kcal, 34g P, 48g C, 14g F, ₹75]</t>
        </is>
      </c>
      <c r="K12" s="8" t="inlineStr">
        <is>
          <t>Rice (150g) + Thick Toor Dal Tadka (180g) + Fresh Curd (100g) + Tomato Cucumber Salad [440 kcal, 18g P, 56g C, 14g F, ₹40]</t>
        </is>
      </c>
      <c r="L12" s="8" t="inlineStr">
        <is>
          <t>Spiced Boiled Sundal / Chickpeas (80g) with lime [140 kcal, 7g P, 22g C, 3g F, ₹20] | Alt: Roasted Makhana (30g) in 1/2 tsp ghee &amp; rock salt [130 kcal, 3g P, 21g C, 3.5g F, ₹25]</t>
        </is>
      </c>
      <c r="M12" s="8" t="inlineStr">
        <is>
          <t>2 Soft Phulkas (75g) + Home Chicken Curry (100g meat) + Cucumber Salad (100g) [420 kcal, 31g P, 42g C, 12g F, ₹65]</t>
        </is>
      </c>
      <c r="N12" s="8" t="inlineStr">
        <is>
          <t>2 Phulkas (75g) + Fresh Paneer Bhurji (90g paneer, capsicum, onion) + Clear Soup [440 kcal, 20g P, 42g C, 20g F, ₹55]</t>
        </is>
      </c>
      <c r="O12" s="8" t="inlineStr">
        <is>
          <t>Rice-Moong Dal Khichdi (220g) + Curd (100g) + Lauki Sabzi (120g) [385 kcal, 14g P, 58g C, 8.5g F, ₹35]</t>
        </is>
      </c>
      <c r="P12" s="8" t="inlineStr">
        <is>
          <t>Optional Pre: 1 cup tender coconut water [45 kcal] • Post: 1 glass warm milk (150ml) [85 kcal, 5g P]</t>
        </is>
      </c>
      <c r="Q12" s="9" t="n">
        <v>1470</v>
      </c>
      <c r="R12" s="9" t="n">
        <v>82</v>
      </c>
      <c r="S12" s="9" t="n">
        <v>174</v>
      </c>
      <c r="T12" s="9" t="n">
        <v>47.5</v>
      </c>
      <c r="U12" s="9" t="n">
        <v>192</v>
      </c>
      <c r="V12" s="8" t="inlineStr">
        <is>
          <t>Mix ragi flour with equal water, pinch of salt, cumin seeds &amp; chopped onion. Pour on medium hot tawa. Cook vegetables in minimum oil with mustard seeds, curry leaves &amp; grated fresh coconut.</t>
        </is>
      </c>
    </row>
    <row r="13" ht="36" customHeight="1">
      <c r="A13" s="10" t="inlineStr">
        <is>
          <t>2026-11-04</t>
        </is>
      </c>
      <c r="B13" s="10" t="n">
        <v>12</v>
      </c>
      <c r="C13" s="10" t="inlineStr">
        <is>
          <t>Wednesday</t>
        </is>
      </c>
      <c r="D13" s="11" t="inlineStr">
        <is>
          <t>High-Fiber Soya Chunks &amp; Comfort Idli Sambar</t>
        </is>
      </c>
      <c r="E13" s="11" t="inlineStr">
        <is>
          <t>Steamed Idlis (3 pcs, 110g) + Vegetable Sambar (150ml) + 2 Boiled Eggs [340 kcal, 19g P, 38g C, 12g F, ₹35]</t>
        </is>
      </c>
      <c r="F13" s="11" t="inlineStr">
        <is>
          <t>Vegetable Poha (160g cooked) + 1 Boiled Egg [310 kcal, 12g P, 44g C, 9g F, ₹26]</t>
        </is>
      </c>
      <c r="G13" s="11" t="inlineStr">
        <is>
          <t>Rolled Oats cooked in toned milk (40g + 180ml milk) with 1/2 apple [290 kcal, 12g P, 45g C, 6g F, ₹30]</t>
        </is>
      </c>
      <c r="H13" s="11" t="inlineStr">
        <is>
          <t>Spiced Buttermilk / Majjige (220ml) with curry leaves &amp; ginger [45 kcal, 3g P, 4g C, 1.5g F, ₹15] | Alt: Fresh Papaya slices (150g) + 5 almonds [110 kcal, 3g P, 22g C, 3g F, ₹28]</t>
        </is>
      </c>
      <c r="I13" s="11" t="inlineStr">
        <is>
          <t>Sona Masoori Rice (150g cooked) + Soya Chunks Curry (45g dry soya chunks cooked in onion-tomato gravy) + French Beans Palya (130g) + Rasam [460 kcal, 31g P, 56g C, 9g F, ₹42]</t>
        </is>
      </c>
      <c r="J13" s="11" t="inlineStr">
        <is>
          <t>2 Phulkas (80g) + Chicken Curry (95g meat) + Cabbage Poriyal (120g) [440 kcal, 31g P, 44g C, 13g F, ₹65]</t>
        </is>
      </c>
      <c r="K13" s="11" t="inlineStr">
        <is>
          <t>Rice (150g) + Thick Toor Dal (180g) + 2 Boiled Eggs + Ridge Gourd Palya (120g) [455 kcal, 24g P, 52g C, 14g F, ₹40]</t>
        </is>
      </c>
      <c r="L13" s="11" t="inlineStr">
        <is>
          <t>Roasted Kadale / Chana (30g) + Hot Elaichi Tea (100ml milk) [140 kcal, 6g P, 20g C, 3.5g F, ₹18] | Alt: Roasted Makhana (30g) in ghee &amp; rock salt [130 kcal, 3g P, 21g C, 3.5g F, ₹25]</t>
        </is>
      </c>
      <c r="M13" s="11" t="inlineStr">
        <is>
          <t>2 Soft Phulkas (75g) + 2 Boiled Eggs in Mild Curry + Cucumber Carrot Salad (120g) [415 kcal, 21g P, 42g C, 15g F, ₹38]</t>
        </is>
      </c>
      <c r="N13" s="11" t="inlineStr">
        <is>
          <t>2 Phulkas (75g) + Paneer Bhurji (90g paneer, capsicum, tomato) + Warm Soup [445 kcal, 20g P, 44g C, 19g F, ₹58]</t>
        </is>
      </c>
      <c r="O13" s="11" t="inlineStr">
        <is>
          <t>2 Ragi Rotis (120g) + Chicken Curry (90g meat) + Cucumber Slices [425 kcal, 30g P, 46g C, 11g F, ₹68]</t>
        </is>
      </c>
      <c r="P13" s="11" t="inlineStr">
        <is>
          <t>Optional Pre: 1 small banana [70 kcal] • Post: 1 glass warm milk [90 kcal, 6g P]</t>
        </is>
      </c>
      <c r="Q13" s="12" t="n">
        <v>1400</v>
      </c>
      <c r="R13" s="12" t="n">
        <v>80</v>
      </c>
      <c r="S13" s="12" t="n">
        <v>160</v>
      </c>
      <c r="T13" s="12" t="n">
        <v>41</v>
      </c>
      <c r="U13" s="12" t="n">
        <v>151</v>
      </c>
      <c r="V13" s="11" t="inlineStr">
        <is>
          <t>Dip idlis in piping hot sambar. Eggs provide complete amino acid profile. Soak soya chunks in warm water for 15 mins. Squeeze out bitter water completely before cooking.</t>
        </is>
      </c>
    </row>
    <row r="14" ht="36" customHeight="1">
      <c r="A14" s="7" t="inlineStr">
        <is>
          <t>2026-11-05</t>
        </is>
      </c>
      <c r="B14" s="7" t="n">
        <v>13</v>
      </c>
      <c r="C14" s="7" t="inlineStr">
        <is>
          <t>Thursday</t>
        </is>
      </c>
      <c r="D14" s="8" t="inlineStr">
        <is>
          <t>Comfort Steamed Staples &amp; Bengaluru Chicken Curry</t>
        </is>
      </c>
      <c r="E14" s="8" t="inlineStr">
        <is>
          <t>Steamed Idlis (3 pcs, 110g) + Veg Sambar (150ml) + 2 Boiled Eggs (100g) [340 kcal, 19g P, 38g C, 12g F, ₹35]</t>
        </is>
      </c>
      <c r="F14" s="8" t="inlineStr">
        <is>
          <t>Steamed Idlis (3 pcs) + Veg Sambar + 1 cup warm sprouted moong salad (100g) [310 kcal, 13g P, 46g C, 5g F, ₹25]</t>
        </is>
      </c>
      <c r="G14" s="8" t="inlineStr">
        <is>
          <t>Ragi Dosa (2 medium, 120g) + Mint Chutney (30g) + 1 Boiled Egg [320 kcal, 14g P, 42g C, 11g F, ₹28]</t>
        </is>
      </c>
      <c r="H14" s="8" t="inlineStr">
        <is>
          <t>Tender Coconut Water (220ml) + Handful Roasted Chana (25g) [130 kcal, 5g P, 22g C, 2g F, ₹40] | Alt: Fresh Papaya slices (150g) + 5 soaked almonds [110 kcal, 3g P, 22g C, 3g F, ₹30]</t>
        </is>
      </c>
      <c r="I14" s="8" t="inlineStr">
        <is>
          <t>Sona Masoori Rice (150g cooked / 55g raw) + Bengaluru Chicken Curry (130g raw / 95g cooked meat) + French Beans Palya (130g) + Pepper Rasam [475 kcal, 34g P, 48g C, 14g F, ₹75]</t>
        </is>
      </c>
      <c r="J14" s="8" t="inlineStr">
        <is>
          <t>2 Soft Wheat Phulkas (80g) + Homestyle Egg Curry (2 eggs in onion-tomato gravy) + Cabbage Poriyal (140g) [440 kcal, 21g P, 48g C, 16g F, ₹40]</t>
        </is>
      </c>
      <c r="K14" s="8" t="inlineStr">
        <is>
          <t>Sona Masoori Rice (150g) + Thick Toor Dal Tadka (180g) + Paneer Palya (80g paneer) + Fresh Curd (100g) [480 kcal, 23g P, 54g C, 18g F, ₹55]</t>
        </is>
      </c>
      <c r="L14" s="8" t="inlineStr">
        <is>
          <t>Spiced Boiled Sundal / Chickpeas (80g) with mustard tempering &amp; lemon [140 kcal, 7g P, 22g C, 3g F, ₹20] | Alt: Roasted Makhana (30g) in 1/2 tsp ghee &amp; rock salt [130 kcal, 3g P, 21g C, 3.5g F, ₹25]</t>
        </is>
      </c>
      <c r="M14" s="8" t="inlineStr">
        <is>
          <t>2 Soft Whole Wheat Phulkas (75g) + Grilled/Pan Chicken Curry (100g meat) + Cucumber Tomato Salad (120g) [420 kcal, 31g P, 42g C, 12g F, ₹65]</t>
        </is>
      </c>
      <c r="N14" s="8" t="inlineStr">
        <is>
          <t>2 Phulkas (75g) + Fresh Paneer Bhurji (90g paneer with capsicum &amp; onion) + Tomato Clear Soup [440 kcal, 20g P, 42g C, 20g F, ₹55]</t>
        </is>
      </c>
      <c r="O14" s="8" t="inlineStr">
        <is>
          <t>Warm Rice-Moong Dal Khichdi (220g) + Fresh Curd (100g) + Steamed Beetroot Poriyal (100g) [380 kcal, 14g P, 58g C, 8g F, ₹35]</t>
        </is>
      </c>
      <c r="P14" s="8" t="inlineStr">
        <is>
          <t>Optional Pre: 1 small banana (80g) [70 kcal] • Post: 1 glass warm toned milk with turmeric (180ml) [95 kcal, 6g P]</t>
        </is>
      </c>
      <c r="Q14" s="9" t="n">
        <v>1505</v>
      </c>
      <c r="R14" s="9" t="n">
        <v>96</v>
      </c>
      <c r="S14" s="9" t="n">
        <v>172</v>
      </c>
      <c r="T14" s="9" t="n">
        <v>43</v>
      </c>
      <c r="U14" s="9" t="n">
        <v>235</v>
      </c>
      <c r="V14" s="8" t="inlineStr">
        <is>
          <t>Steam idlis in idli cooker for 10-12 mins. Weigh 110g cooked on kitchen scale. Zero plate on scale, measure 150g warm rice, then add 95g cooked chicken meat without bones.</t>
        </is>
      </c>
    </row>
    <row r="15" ht="36" customHeight="1">
      <c r="A15" s="10" t="inlineStr">
        <is>
          <t>2026-11-06</t>
        </is>
      </c>
      <c r="B15" s="10" t="n">
        <v>14</v>
      </c>
      <c r="C15" s="10" t="inlineStr">
        <is>
          <t>Friday</t>
        </is>
      </c>
      <c r="D15" s="11" t="inlineStr">
        <is>
          <t>Iron-Rich Poha, Egg Curry &amp; Golden Turmeric Phulkas</t>
        </is>
      </c>
      <c r="E15" s="11" t="inlineStr">
        <is>
          <t>Vegetable Poha (160g cooked) tempered with mustard &amp; roasted peanuts (15g) + 1 Boiled Egg [330 kcal, 13g P, 44g C, 11g F, ₹28]</t>
        </is>
      </c>
      <c r="F15" s="11" t="inlineStr">
        <is>
          <t>Vegetable Poha (180g) + 1 glass warm toned milk (150ml) [310 kcal, 11g P, 48g C, 8g F, ₹24]</t>
        </is>
      </c>
      <c r="G15" s="11" t="inlineStr">
        <is>
          <t>Rolled Oats cooked in milk (40g oats + 180ml toned milk) with half diced apple [290 kcal, 12g P, 45g C, 6g F, ₹30]</t>
        </is>
      </c>
      <c r="H15" s="11" t="inlineStr">
        <is>
          <t>Spiced Majjige / Buttermilk (220ml) with grated ginger &amp; curry leaves [45 kcal, 3g P, 4g C, 1.5g F, ₹15] | Alt: 1 Crisp Guava or Apple (130g) with pinch of rock salt [75 kcal, 1.5g P, 18g C, 0.5g F, ₹20]</t>
        </is>
      </c>
      <c r="I15" s="11" t="inlineStr">
        <is>
          <t>2 Soft Phulkas (80g) + 2 Boiled Eggs in Onion-Tomato Gravy (120g gravy) + Ridge Gourd (Heerekayi) Palya (140g) [450 kcal, 22g P, 48g C, 17g F, ₹45]</t>
        </is>
      </c>
      <c r="J15" s="11" t="inlineStr">
        <is>
          <t>Sona Masoori Rice (150g) + Fish Curry (120g rohu/pomfret in light coconut gravy) + Beans Poriyal (120g) [460 kcal, 32g P, 46g C, 13g F, ₹80]</t>
        </is>
      </c>
      <c r="K15" s="11" t="inlineStr">
        <is>
          <t>Cooked Rice (150g) + Mixed Vegetable Sambar (180g) + Pan-seared Tofu or Paneer (80g) + Cucumber Slices [465 kcal, 21g P, 52g C, 17g F, ₹55]</t>
        </is>
      </c>
      <c r="L15" s="11" t="inlineStr">
        <is>
          <t>Boiled Sweet Corn (120g) with lemon squeeze &amp; chaat masala [120 kcal, 4g P, 24g C, 1.5g F, ₹20] | Alt: Roasted Kadale / Chana (30g) + Warm Elaichi Green Tea [125 kcal, 6g P, 18g C, 2.5g F, ₹15]</t>
        </is>
      </c>
      <c r="M15" s="11" t="inlineStr">
        <is>
          <t>2 Soft Phulkas (75g) + Fresh Paneer Bhurji (90g paneer, capsicum, tomato) + Warm Tomato Rasam (150ml) [445 kcal, 21g P, 44g C, 19g F, ₹60]</t>
        </is>
      </c>
      <c r="N15" s="11" t="inlineStr">
        <is>
          <t>2 Ragi Rotis (130g) + Chicken Curry (90g cooked meat) + Onion Cucumber Raita (80g) [430 kcal, 30g P, 46g C, 11g F, ₹70]</t>
        </is>
      </c>
      <c r="O15" s="11" t="inlineStr">
        <is>
          <t>Moong Dal Vegetable Dalia Khichdi (220g) + Fresh Curd (100g) [390 kcal, 16g P, 54g C, 9g F, ₹35]</t>
        </is>
      </c>
      <c r="P15" s="11" t="inlineStr">
        <is>
          <t>Optional Pre: 2 Medjool dates [80 kcal] • Post: 1 boiled egg white or 100g warm milk [55 kcal, 4g P]</t>
        </is>
      </c>
      <c r="Q15" s="12" t="n">
        <v>1390</v>
      </c>
      <c r="R15" s="12" t="n">
        <v>63</v>
      </c>
      <c r="S15" s="12" t="n">
        <v>164</v>
      </c>
      <c r="T15" s="12" t="n">
        <v>50</v>
      </c>
      <c r="U15" s="12" t="n">
        <v>168</v>
      </c>
      <c r="V15" s="11" t="inlineStr">
        <is>
          <t>Rinse thick poha in colander, drain well. Sauté with onion, curry leaves, carrots &amp; roasted peanuts. Prick boiled eggs gently before simmering in gravy to absorb rich flavours.</t>
        </is>
      </c>
    </row>
    <row r="16" ht="36" customHeight="1">
      <c r="A16" s="7" t="inlineStr">
        <is>
          <t>2026-11-07</t>
        </is>
      </c>
      <c r="B16" s="7" t="n">
        <v>15</v>
      </c>
      <c r="C16" s="7" t="inlineStr">
        <is>
          <t>Saturday</t>
        </is>
      </c>
      <c r="D16" s="8" t="inlineStr">
        <is>
          <t>Bengaluru Rava Upma &amp; Fresh Coastal Home Curry</t>
        </is>
      </c>
      <c r="E16" s="8" t="inlineStr">
        <is>
          <t>Bengaluru Vegetable Rava Upma (180g cooked) with roasted peanuts + 1 Boiled Egg [340 kcal, 14g P, 44g C, 12g F, ₹26]</t>
        </is>
      </c>
      <c r="F16" s="8" t="inlineStr">
        <is>
          <t>Vegetable Upma (180g) + 1 glass warm toned milk (150ml) [320 kcal, 11g P, 48g C, 9g F, ₹24]</t>
        </is>
      </c>
      <c r="G16" s="8" t="inlineStr">
        <is>
          <t>Steamed Idlis (3 pcs) with Mint Toor Dal Chutney (40g) + 1 Boiled Egg [320 kcal, 15g P, 42g C, 9g F, ₹28]</t>
        </is>
      </c>
      <c r="H16" s="8" t="inlineStr">
        <is>
          <t>Fresh Fruit Bowl (150g watermelon or papaya) + 6 soaked almonds [110 kcal, 3g P, 22g C, 3g F, ₹30] | Alt: Tender Coconut Water (220ml) [45 kcal, 1g P, 10g C, 0g F, ₹35]</t>
        </is>
      </c>
      <c r="I16" s="8" t="inlineStr">
        <is>
          <t>Sona Masoori Rice (150g cooked) + Bengaluru Fish Curry (120g fresh fish in light gravy) + Cabbage &amp; Pea Poriyal (130g) + Rasam [450 kcal, 33g P, 46g C, 13g F, ₹80]</t>
        </is>
      </c>
      <c r="J16" s="8" t="inlineStr">
        <is>
          <t>2 Phulkas (80g) + Chicken Curry (95g cooked meat) + Cucumber Carrot Salad (100g) [440 kcal, 31g P, 44g C, 13g F, ₹65]</t>
        </is>
      </c>
      <c r="K16" s="8" t="inlineStr">
        <is>
          <t>Rice (150g) + Thick Chana Dal (180g) + Beans Palya (130g) + Fresh Curd (100g) [470 kcal, 22g P, 56g C, 15g F, ₹45]</t>
        </is>
      </c>
      <c r="L16" s="8" t="inlineStr">
        <is>
          <t>Roasted Puri Kadale / Chana (30g) + Warm Ginger Tea (100ml low-fat milk) [140 kcal, 6g P, 20g C, 3.5g F, ₹18] | Alt: Spiced Boiled Moong Sprouts (80g) with lime &amp; salt [110 kcal, 7g P, 18g C, 1g F, ₹15]</t>
        </is>
      </c>
      <c r="M16" s="8" t="inlineStr">
        <is>
          <t>2 Soft Phulkas (75g) + Soya Chunks &amp; Green Pea Curry (45g dry soya + 50g peas) + Fresh Curd (80g) [420 kcal, 29g P, 48g C, 9g F, ₹40]</t>
        </is>
      </c>
      <c r="N16" s="8" t="inlineStr">
        <is>
          <t>2 Phulkas (75g) + 2 Boiled Eggs in Homestyle Curry (100g) + Sliced Cucumber [410 kcal, 21g P, 42g C, 15g F, ₹38]</t>
        </is>
      </c>
      <c r="O16" s="8" t="inlineStr">
        <is>
          <t>2 Ragi Rotis (120g) + Mixed Vegetable Sambar (180ml) + Sautéed Palak (100g) [380 kcal, 14g P, 54g C, 8g F, ₹30]</t>
        </is>
      </c>
      <c r="P16" s="8" t="inlineStr">
        <is>
          <t>Optional Pre: 1 cup tender coconut water [45 kcal] • Post: 1 glass warm milk (150ml) [85 kcal, 5g P]</t>
        </is>
      </c>
      <c r="Q16" s="9" t="n">
        <v>1460</v>
      </c>
      <c r="R16" s="9" t="n">
        <v>85</v>
      </c>
      <c r="S16" s="9" t="n">
        <v>180</v>
      </c>
      <c r="T16" s="9" t="n">
        <v>40.5</v>
      </c>
      <c r="U16" s="9" t="n">
        <v>194</v>
      </c>
      <c r="V16" s="8" t="inlineStr">
        <is>
          <t>Dry roast semolina lightly. Tempered with mustard seeds, chana dal, green chillies &amp; mixed veggies. Use fresh local fish cuts (rohu, pomfret, or seer fish). Simmer gently for 8 mins.</t>
        </is>
      </c>
    </row>
    <row r="17" ht="36" customHeight="1">
      <c r="A17" s="10" t="inlineStr">
        <is>
          <t>2026-11-08</t>
        </is>
      </c>
      <c r="B17" s="10" t="n">
        <v>16</v>
      </c>
      <c r="C17" s="10" t="inlineStr">
        <is>
          <t>Sunday</t>
        </is>
      </c>
      <c r="D17" s="11" t="inlineStr">
        <is>
          <t>Nourishing Rolled Oats &amp; Tender Chicken Palya</t>
        </is>
      </c>
      <c r="E17" s="11" t="inlineStr">
        <is>
          <t>Warm Rolled Oats (40g dry + 180ml toned milk) + 1 Boiled Egg + Apple slices (50g) [345 kcal, 18g P, 46g C, 10g F, ₹35]</t>
        </is>
      </c>
      <c r="F17" s="11" t="inlineStr">
        <is>
          <t>Vegetable Poha (160g cooked) + 2 Boiled Eggs [360 kcal, 18g P, 42g C, 14g F, ₹32]</t>
        </is>
      </c>
      <c r="G17" s="11" t="inlineStr">
        <is>
          <t>2 Plain Dosas (120g) + Toor Dal Sambar (150ml) + 1 cup warm sprouted moong [330 kcal, 14g P, 48g C, 7g F, ₹25]</t>
        </is>
      </c>
      <c r="H17" s="11" t="inlineStr">
        <is>
          <t>Tender Coconut Water (220ml) + 5 Soaked Almonds [95 kcal, 3g P, 12g C, 4g F, ₹40] | Alt: Fresh Spiced Buttermilk (220ml) with coriander &amp; rock salt [45 kcal, 3g P, 4g C, 1.5g F, ₹15]</t>
        </is>
      </c>
      <c r="I17" s="11" t="inlineStr">
        <is>
          <t>Sona Masoori Rice (150g cooked) + Tender Chicken Curry (130g raw / 95g meat) + Palak (Spinach) Palya (140g) + Rasam [470 kcal, 35g P, 46g C, 13g F, ₹75]</t>
        </is>
      </c>
      <c r="J17" s="11" t="inlineStr">
        <is>
          <t>2 Soft Phulkas (80g) + Fresh Paneer Curry (85g paneer in light gravy) + French Beans Palya (120g) [450 kcal, 21g P, 44g C, 19g F, ₹55]</t>
        </is>
      </c>
      <c r="K17" s="11" t="inlineStr">
        <is>
          <t>Rice (150g) + Toor Dal Tadka (180g) + 2 Boiled Eggs + Beetroot Poriyal (120g) [460 kcal, 25g P, 52g C, 14g F, ₹42]</t>
        </is>
      </c>
      <c r="L17" s="11" t="inlineStr">
        <is>
          <t>Roasted Makhana (30g) + Hot Green Tea with lemon [130 kcal, 3g P, 21g C, 3.5g F, ₹25] | Alt: Boiled Chickpeas Sundal (70g) with mustard &amp; curry leaves [125 kcal, 6g P, 20g C, 2.5g F, ₹18]</t>
        </is>
      </c>
      <c r="M17" s="11" t="inlineStr">
        <is>
          <t>2 Soft Phulkas (75g) + 2 Boiled Eggs in Tomato Onion Curry + Cucumber Salad (100g) [415 kcal, 21g P, 42g C, 15g F, ₹38]</t>
        </is>
      </c>
      <c r="N17" s="11" t="inlineStr">
        <is>
          <t>2 Phulkas (75g) + Grilled Chicken Strips (100g cooked) + Mixed Sautéed Capsicum &amp; Onions [425 kcal, 32g P, 40g C, 11g F, ₹65]</t>
        </is>
      </c>
      <c r="O17" s="11" t="inlineStr">
        <is>
          <t>Warm Moong Dal Vegetable Khichdi (220g) + Fresh Curd (100g) [380 kcal, 15g P, 56g C, 8g F, ₹35]</t>
        </is>
      </c>
      <c r="P17" s="11" t="inlineStr">
        <is>
          <t>Optional Pre: 1 small banana [70 kcal] • Post: 1 cup warm turmeric milk [90 kcal, 6g P]</t>
        </is>
      </c>
      <c r="Q17" s="12" t="n">
        <v>1455</v>
      </c>
      <c r="R17" s="12" t="n">
        <v>80</v>
      </c>
      <c r="S17" s="12" t="n">
        <v>167</v>
      </c>
      <c r="T17" s="12" t="n">
        <v>45.5</v>
      </c>
      <c r="U17" s="12" t="n">
        <v>213</v>
      </c>
      <c r="V17" s="11" t="inlineStr">
        <is>
          <t>Cook oats in milk for 4 mins on medium flame. Stir in pinch of cinnamon powder. Weigh raw boneless chicken (130g). Steam spinach lightly with mustard tempering.</t>
        </is>
      </c>
    </row>
    <row r="18" ht="36" customHeight="1">
      <c r="A18" s="7" t="inlineStr">
        <is>
          <t>2026-11-09</t>
        </is>
      </c>
      <c r="B18" s="7" t="n">
        <v>17</v>
      </c>
      <c r="C18" s="7" t="inlineStr">
        <is>
          <t>Monday</t>
        </is>
      </c>
      <c r="D18" s="8" t="inlineStr">
        <is>
          <t>Calcium-Rich Ragi Dosa &amp; Fresh Country Egg Feast</t>
        </is>
      </c>
      <c r="E18" s="8" t="inlineStr">
        <is>
          <t>Ragi Dosa (2 medium, 120g) + Coconut Mint Chutney (30g) + 2 Boiled Eggs [350 kcal, 19g P, 40g C, 13g F, ₹35]</t>
        </is>
      </c>
      <c r="F18" s="8" t="inlineStr">
        <is>
          <t>Steamed Idlis (3 pcs, 110g) + Vegetable Sambar (150ml) + 1 Boiled Egg [310 kcal, 13g P, 44g C, 8g F, ₹25]</t>
        </is>
      </c>
      <c r="G18" s="8" t="inlineStr">
        <is>
          <t>Vegetable Upma (180g) + Warm Toned Milk (150ml) [320 kcal, 11g P, 48g C, 9g F, ₹22]</t>
        </is>
      </c>
      <c r="H18" s="8" t="inlineStr">
        <is>
          <t>Fresh Seasonal Fruit (1 Medium Apple or 150g Papaya) + 6 Almonds [115 kcal, 3g P, 22g C, 3.5g F, ₹30] | Alt: Tender Coconut Water (220ml) [45 kcal, 1g P, 10g C, 0g F, ₹35]</t>
        </is>
      </c>
      <c r="I18" s="8" t="inlineStr">
        <is>
          <t>2 Soft Phulkas (80g) + Homestyle Egg Curry (2 eggs) + Cabbage &amp; Carrot Poriyal (140g) + Rasam [445 kcal, 22g P, 48g C, 16g F, ₹42]</t>
        </is>
      </c>
      <c r="J18" s="8" t="inlineStr">
        <is>
          <t>Sona Masoori Rice (150g) + Bengaluru Chicken Curry (95g meat) + Beans Palya (120g) [475 kcal, 34g P, 48g C, 14g F, ₹75]</t>
        </is>
      </c>
      <c r="K18" s="8" t="inlineStr">
        <is>
          <t>Rice (150g) + Thick Toor Dal Tadka (180g) + Fresh Curd (100g) + Tomato Cucumber Salad [440 kcal, 18g P, 56g C, 14g F, ₹40]</t>
        </is>
      </c>
      <c r="L18" s="8" t="inlineStr">
        <is>
          <t>Spiced Boiled Sundal / Chickpeas (80g) with lime [140 kcal, 7g P, 22g C, 3g F, ₹20] | Alt: Roasted Makhana (30g) in 1/2 tsp ghee &amp; rock salt [130 kcal, 3g P, 21g C, 3.5g F, ₹25]</t>
        </is>
      </c>
      <c r="M18" s="8" t="inlineStr">
        <is>
          <t>2 Soft Phulkas (75g) + Home Chicken Curry (100g meat) + Cucumber Salad (100g) [420 kcal, 31g P, 42g C, 12g F, ₹65]</t>
        </is>
      </c>
      <c r="N18" s="8" t="inlineStr">
        <is>
          <t>2 Phulkas (75g) + Fresh Paneer Bhurji (90g paneer, capsicum, onion) + Clear Soup [440 kcal, 20g P, 42g C, 20g F, ₹55]</t>
        </is>
      </c>
      <c r="O18" s="8" t="inlineStr">
        <is>
          <t>Rice-Moong Dal Khichdi (220g) + Curd (100g) + Lauki Sabzi (120g) [385 kcal, 14g P, 58g C, 8.5g F, ₹35]</t>
        </is>
      </c>
      <c r="P18" s="8" t="inlineStr">
        <is>
          <t>Optional Pre: 1 cup tender coconut water [45 kcal] • Post: 1 glass warm milk (150ml) [85 kcal, 5g P]</t>
        </is>
      </c>
      <c r="Q18" s="9" t="n">
        <v>1470</v>
      </c>
      <c r="R18" s="9" t="n">
        <v>82</v>
      </c>
      <c r="S18" s="9" t="n">
        <v>174</v>
      </c>
      <c r="T18" s="9" t="n">
        <v>47.5</v>
      </c>
      <c r="U18" s="9" t="n">
        <v>192</v>
      </c>
      <c r="V18" s="8" t="inlineStr">
        <is>
          <t>Mix ragi flour with equal water, pinch of salt, cumin seeds &amp; chopped onion. Pour on medium hot tawa. Cook vegetables in minimum oil with mustard seeds, curry leaves &amp; grated fresh coconut.</t>
        </is>
      </c>
    </row>
    <row r="19" ht="36" customHeight="1">
      <c r="A19" s="10" t="inlineStr">
        <is>
          <t>2026-11-10</t>
        </is>
      </c>
      <c r="B19" s="10" t="n">
        <v>18</v>
      </c>
      <c r="C19" s="10" t="inlineStr">
        <is>
          <t>Tuesday</t>
        </is>
      </c>
      <c r="D19" s="11" t="inlineStr">
        <is>
          <t>High-Fiber Soya Chunks &amp; Comfort Idli Sambar</t>
        </is>
      </c>
      <c r="E19" s="11" t="inlineStr">
        <is>
          <t>Steamed Idlis (3 pcs, 110g) + Vegetable Sambar (150ml) + 2 Boiled Eggs [340 kcal, 19g P, 38g C, 12g F, ₹35]</t>
        </is>
      </c>
      <c r="F19" s="11" t="inlineStr">
        <is>
          <t>Vegetable Poha (160g cooked) + 1 Boiled Egg [310 kcal, 12g P, 44g C, 9g F, ₹26]</t>
        </is>
      </c>
      <c r="G19" s="11" t="inlineStr">
        <is>
          <t>Rolled Oats cooked in toned milk (40g + 180ml milk) with 1/2 apple [290 kcal, 12g P, 45g C, 6g F, ₹30]</t>
        </is>
      </c>
      <c r="H19" s="11" t="inlineStr">
        <is>
          <t>Spiced Buttermilk / Majjige (220ml) with curry leaves &amp; ginger [45 kcal, 3g P, 4g C, 1.5g F, ₹15] | Alt: Fresh Papaya slices (150g) + 5 almonds [110 kcal, 3g P, 22g C, 3g F, ₹28]</t>
        </is>
      </c>
      <c r="I19" s="11" t="inlineStr">
        <is>
          <t>Sona Masoori Rice (150g cooked) + Soya Chunks Curry (45g dry soya chunks cooked in onion-tomato gravy) + French Beans Palya (130g) + Rasam [460 kcal, 31g P, 56g C, 9g F, ₹42]</t>
        </is>
      </c>
      <c r="J19" s="11" t="inlineStr">
        <is>
          <t>2 Phulkas (80g) + Chicken Curry (95g meat) + Cabbage Poriyal (120g) [440 kcal, 31g P, 44g C, 13g F, ₹65]</t>
        </is>
      </c>
      <c r="K19" s="11" t="inlineStr">
        <is>
          <t>Rice (150g) + Thick Toor Dal (180g) + 2 Boiled Eggs + Ridge Gourd Palya (120g) [455 kcal, 24g P, 52g C, 14g F, ₹40]</t>
        </is>
      </c>
      <c r="L19" s="11" t="inlineStr">
        <is>
          <t>Roasted Kadale / Chana (30g) + Hot Elaichi Tea (100ml milk) [140 kcal, 6g P, 20g C, 3.5g F, ₹18] | Alt: Roasted Makhana (30g) in ghee &amp; rock salt [130 kcal, 3g P, 21g C, 3.5g F, ₹25]</t>
        </is>
      </c>
      <c r="M19" s="11" t="inlineStr">
        <is>
          <t>2 Soft Phulkas (75g) + 2 Boiled Eggs in Mild Curry + Cucumber Carrot Salad (120g) [415 kcal, 21g P, 42g C, 15g F, ₹38]</t>
        </is>
      </c>
      <c r="N19" s="11" t="inlineStr">
        <is>
          <t>2 Phulkas (75g) + Paneer Bhurji (90g paneer, capsicum, tomato) + Warm Soup [445 kcal, 20g P, 44g C, 19g F, ₹58]</t>
        </is>
      </c>
      <c r="O19" s="11" t="inlineStr">
        <is>
          <t>2 Ragi Rotis (120g) + Chicken Curry (90g meat) + Cucumber Slices [425 kcal, 30g P, 46g C, 11g F, ₹68]</t>
        </is>
      </c>
      <c r="P19" s="11" t="inlineStr">
        <is>
          <t>Optional Pre: 1 small banana [70 kcal] • Post: 1 glass warm milk [90 kcal, 6g P]</t>
        </is>
      </c>
      <c r="Q19" s="12" t="n">
        <v>1400</v>
      </c>
      <c r="R19" s="12" t="n">
        <v>80</v>
      </c>
      <c r="S19" s="12" t="n">
        <v>160</v>
      </c>
      <c r="T19" s="12" t="n">
        <v>41</v>
      </c>
      <c r="U19" s="12" t="n">
        <v>151</v>
      </c>
      <c r="V19" s="11" t="inlineStr">
        <is>
          <t>Dip idlis in piping hot sambar. Eggs provide complete amino acid profile. Soak soya chunks in warm water for 15 mins. Squeeze out bitter water completely before cooking.</t>
        </is>
      </c>
    </row>
    <row r="20" ht="36" customHeight="1">
      <c r="A20" s="7" t="inlineStr">
        <is>
          <t>2026-11-11</t>
        </is>
      </c>
      <c r="B20" s="7" t="n">
        <v>19</v>
      </c>
      <c r="C20" s="7" t="inlineStr">
        <is>
          <t>Wednesday</t>
        </is>
      </c>
      <c r="D20" s="8" t="inlineStr">
        <is>
          <t>Comfort Steamed Staples &amp; Bengaluru Chicken Curry</t>
        </is>
      </c>
      <c r="E20" s="8" t="inlineStr">
        <is>
          <t>Steamed Idlis (3 pcs, 110g) + Veg Sambar (150ml) + 2 Boiled Eggs (100g) [340 kcal, 19g P, 38g C, 12g F, ₹35]</t>
        </is>
      </c>
      <c r="F20" s="8" t="inlineStr">
        <is>
          <t>Steamed Idlis (3 pcs) + Veg Sambar + 1 cup warm sprouted moong salad (100g) [310 kcal, 13g P, 46g C, 5g F, ₹25]</t>
        </is>
      </c>
      <c r="G20" s="8" t="inlineStr">
        <is>
          <t>Ragi Dosa (2 medium, 120g) + Mint Chutney (30g) + 1 Boiled Egg [320 kcal, 14g P, 42g C, 11g F, ₹28]</t>
        </is>
      </c>
      <c r="H20" s="8" t="inlineStr">
        <is>
          <t>Tender Coconut Water (220ml) + Handful Roasted Chana (25g) [130 kcal, 5g P, 22g C, 2g F, ₹40] | Alt: Fresh Papaya slices (150g) + 5 soaked almonds [110 kcal, 3g P, 22g C, 3g F, ₹30]</t>
        </is>
      </c>
      <c r="I20" s="8" t="inlineStr">
        <is>
          <t>Sona Masoori Rice (150g cooked / 55g raw) + Bengaluru Chicken Curry (130g raw / 95g cooked meat) + French Beans Palya (130g) + Pepper Rasam [475 kcal, 34g P, 48g C, 14g F, ₹75]</t>
        </is>
      </c>
      <c r="J20" s="8" t="inlineStr">
        <is>
          <t>2 Soft Wheat Phulkas (80g) + Homestyle Egg Curry (2 eggs in onion-tomato gravy) + Cabbage Poriyal (140g) [440 kcal, 21g P, 48g C, 16g F, ₹40]</t>
        </is>
      </c>
      <c r="K20" s="8" t="inlineStr">
        <is>
          <t>Sona Masoori Rice (150g) + Thick Toor Dal Tadka (180g) + Paneer Palya (80g paneer) + Fresh Curd (100g) [480 kcal, 23g P, 54g C, 18g F, ₹55]</t>
        </is>
      </c>
      <c r="L20" s="8" t="inlineStr">
        <is>
          <t>Spiced Boiled Sundal / Chickpeas (80g) with mustard tempering &amp; lemon [140 kcal, 7g P, 22g C, 3g F, ₹20] | Alt: Roasted Makhana (30g) in 1/2 tsp ghee &amp; rock salt [130 kcal, 3g P, 21g C, 3.5g F, ₹25]</t>
        </is>
      </c>
      <c r="M20" s="8" t="inlineStr">
        <is>
          <t>2 Soft Whole Wheat Phulkas (75g) + Grilled/Pan Chicken Curry (100g meat) + Cucumber Tomato Salad (120g) [420 kcal, 31g P, 42g C, 12g F, ₹65]</t>
        </is>
      </c>
      <c r="N20" s="8" t="inlineStr">
        <is>
          <t>2 Phulkas (75g) + Fresh Paneer Bhurji (90g paneer with capsicum &amp; onion) + Tomato Clear Soup [440 kcal, 20g P, 42g C, 20g F, ₹55]</t>
        </is>
      </c>
      <c r="O20" s="8" t="inlineStr">
        <is>
          <t>Warm Rice-Moong Dal Khichdi (220g) + Fresh Curd (100g) + Steamed Beetroot Poriyal (100g) [380 kcal, 14g P, 58g C, 8g F, ₹35]</t>
        </is>
      </c>
      <c r="P20" s="8" t="inlineStr">
        <is>
          <t>Optional Pre: 1 small banana (80g) [70 kcal] • Post: 1 glass warm toned milk with turmeric (180ml) [95 kcal, 6g P]</t>
        </is>
      </c>
      <c r="Q20" s="9" t="n">
        <v>1505</v>
      </c>
      <c r="R20" s="9" t="n">
        <v>96</v>
      </c>
      <c r="S20" s="9" t="n">
        <v>172</v>
      </c>
      <c r="T20" s="9" t="n">
        <v>43</v>
      </c>
      <c r="U20" s="9" t="n">
        <v>235</v>
      </c>
      <c r="V20" s="8" t="inlineStr">
        <is>
          <t>Steam idlis in idli cooker for 10-12 mins. Weigh 110g cooked on kitchen scale. Zero plate on scale, measure 150g warm rice, then add 95g cooked chicken meat without bones.</t>
        </is>
      </c>
    </row>
    <row r="21" ht="36" customHeight="1">
      <c r="A21" s="10" t="inlineStr">
        <is>
          <t>2026-11-12</t>
        </is>
      </c>
      <c r="B21" s="10" t="n">
        <v>20</v>
      </c>
      <c r="C21" s="10" t="inlineStr">
        <is>
          <t>Thursday</t>
        </is>
      </c>
      <c r="D21" s="11" t="inlineStr">
        <is>
          <t>Iron-Rich Poha, Egg Curry &amp; Golden Turmeric Phulkas</t>
        </is>
      </c>
      <c r="E21" s="11" t="inlineStr">
        <is>
          <t>Vegetable Poha (160g cooked) tempered with mustard &amp; roasted peanuts (15g) + 1 Boiled Egg [330 kcal, 13g P, 44g C, 11g F, ₹28]</t>
        </is>
      </c>
      <c r="F21" s="11" t="inlineStr">
        <is>
          <t>Vegetable Poha (180g) + 1 glass warm toned milk (150ml) [310 kcal, 11g P, 48g C, 8g F, ₹24]</t>
        </is>
      </c>
      <c r="G21" s="11" t="inlineStr">
        <is>
          <t>Rolled Oats cooked in milk (40g oats + 180ml toned milk) with half diced apple [290 kcal, 12g P, 45g C, 6g F, ₹30]</t>
        </is>
      </c>
      <c r="H21" s="11" t="inlineStr">
        <is>
          <t>Spiced Majjige / Buttermilk (220ml) with grated ginger &amp; curry leaves [45 kcal, 3g P, 4g C, 1.5g F, ₹15] | Alt: 1 Crisp Guava or Apple (130g) with pinch of rock salt [75 kcal, 1.5g P, 18g C, 0.5g F, ₹20]</t>
        </is>
      </c>
      <c r="I21" s="11" t="inlineStr">
        <is>
          <t>2 Soft Phulkas (80g) + 2 Boiled Eggs in Onion-Tomato Gravy (120g gravy) + Ridge Gourd (Heerekayi) Palya (140g) [450 kcal, 22g P, 48g C, 17g F, ₹45]</t>
        </is>
      </c>
      <c r="J21" s="11" t="inlineStr">
        <is>
          <t>Sona Masoori Rice (150g) + Fish Curry (120g rohu/pomfret in light coconut gravy) + Beans Poriyal (120g) [460 kcal, 32g P, 46g C, 13g F, ₹80]</t>
        </is>
      </c>
      <c r="K21" s="11" t="inlineStr">
        <is>
          <t>Cooked Rice (150g) + Mixed Vegetable Sambar (180g) + Pan-seared Tofu or Paneer (80g) + Cucumber Slices [465 kcal, 21g P, 52g C, 17g F, ₹55]</t>
        </is>
      </c>
      <c r="L21" s="11" t="inlineStr">
        <is>
          <t>Boiled Sweet Corn (120g) with lemon squeeze &amp; chaat masala [120 kcal, 4g P, 24g C, 1.5g F, ₹20] | Alt: Roasted Kadale / Chana (30g) + Warm Elaichi Green Tea [125 kcal, 6g P, 18g C, 2.5g F, ₹15]</t>
        </is>
      </c>
      <c r="M21" s="11" t="inlineStr">
        <is>
          <t>2 Soft Phulkas (75g) + Fresh Paneer Bhurji (90g paneer, capsicum, tomato) + Warm Tomato Rasam (150ml) [445 kcal, 21g P, 44g C, 19g F, ₹60]</t>
        </is>
      </c>
      <c r="N21" s="11" t="inlineStr">
        <is>
          <t>2 Ragi Rotis (130g) + Chicken Curry (90g cooked meat) + Onion Cucumber Raita (80g) [430 kcal, 30g P, 46g C, 11g F, ₹70]</t>
        </is>
      </c>
      <c r="O21" s="11" t="inlineStr">
        <is>
          <t>Moong Dal Vegetable Dalia Khichdi (220g) + Fresh Curd (100g) [390 kcal, 16g P, 54g C, 9g F, ₹35]</t>
        </is>
      </c>
      <c r="P21" s="11" t="inlineStr">
        <is>
          <t>Optional Pre: 2 Medjool dates [80 kcal] • Post: 1 boiled egg white or 100g warm milk [55 kcal, 4g P]</t>
        </is>
      </c>
      <c r="Q21" s="12" t="n">
        <v>1390</v>
      </c>
      <c r="R21" s="12" t="n">
        <v>63</v>
      </c>
      <c r="S21" s="12" t="n">
        <v>164</v>
      </c>
      <c r="T21" s="12" t="n">
        <v>50</v>
      </c>
      <c r="U21" s="12" t="n">
        <v>168</v>
      </c>
      <c r="V21" s="11" t="inlineStr">
        <is>
          <t>Rinse thick poha in colander, drain well. Sauté with onion, curry leaves, carrots &amp; roasted peanuts. Prick boiled eggs gently before simmering in gravy to absorb rich flavours.</t>
        </is>
      </c>
    </row>
    <row r="22" ht="36" customHeight="1">
      <c r="A22" s="7" t="inlineStr">
        <is>
          <t>2026-11-13</t>
        </is>
      </c>
      <c r="B22" s="7" t="n">
        <v>21</v>
      </c>
      <c r="C22" s="7" t="inlineStr">
        <is>
          <t>Friday</t>
        </is>
      </c>
      <c r="D22" s="8" t="inlineStr">
        <is>
          <t>Bengaluru Rava Upma &amp; Fresh Coastal Home Curry</t>
        </is>
      </c>
      <c r="E22" s="8" t="inlineStr">
        <is>
          <t>Bengaluru Vegetable Rava Upma (180g cooked) with roasted peanuts + 1 Boiled Egg [340 kcal, 14g P, 44g C, 12g F, ₹26]</t>
        </is>
      </c>
      <c r="F22" s="8" t="inlineStr">
        <is>
          <t>Vegetable Upma (180g) + 1 glass warm toned milk (150ml) [320 kcal, 11g P, 48g C, 9g F, ₹24]</t>
        </is>
      </c>
      <c r="G22" s="8" t="inlineStr">
        <is>
          <t>Steamed Idlis (3 pcs) with Mint Toor Dal Chutney (40g) + 1 Boiled Egg [320 kcal, 15g P, 42g C, 9g F, ₹28]</t>
        </is>
      </c>
      <c r="H22" s="8" t="inlineStr">
        <is>
          <t>Fresh Fruit Bowl (150g watermelon or papaya) + 6 soaked almonds [110 kcal, 3g P, 22g C, 3g F, ₹30] | Alt: Tender Coconut Water (220ml) [45 kcal, 1g P, 10g C, 0g F, ₹35]</t>
        </is>
      </c>
      <c r="I22" s="8" t="inlineStr">
        <is>
          <t>Sona Masoori Rice (150g cooked) + Bengaluru Fish Curry (120g fresh fish in light gravy) + Cabbage &amp; Pea Poriyal (130g) + Rasam [450 kcal, 33g P, 46g C, 13g F, ₹80]</t>
        </is>
      </c>
      <c r="J22" s="8" t="inlineStr">
        <is>
          <t>2 Phulkas (80g) + Chicken Curry (95g cooked meat) + Cucumber Carrot Salad (100g) [440 kcal, 31g P, 44g C, 13g F, ₹65]</t>
        </is>
      </c>
      <c r="K22" s="8" t="inlineStr">
        <is>
          <t>Rice (150g) + Thick Chana Dal (180g) + Beans Palya (130g) + Fresh Curd (100g) [470 kcal, 22g P, 56g C, 15g F, ₹45]</t>
        </is>
      </c>
      <c r="L22" s="8" t="inlineStr">
        <is>
          <t>Roasted Puri Kadale / Chana (30g) + Warm Ginger Tea (100ml low-fat milk) [140 kcal, 6g P, 20g C, 3.5g F, ₹18] | Alt: Spiced Boiled Moong Sprouts (80g) with lime &amp; salt [110 kcal, 7g P, 18g C, 1g F, ₹15]</t>
        </is>
      </c>
      <c r="M22" s="8" t="inlineStr">
        <is>
          <t>2 Soft Phulkas (75g) + Soya Chunks &amp; Green Pea Curry (45g dry soya + 50g peas) + Fresh Curd (80g) [420 kcal, 29g P, 48g C, 9g F, ₹40]</t>
        </is>
      </c>
      <c r="N22" s="8" t="inlineStr">
        <is>
          <t>2 Phulkas (75g) + 2 Boiled Eggs in Homestyle Curry (100g) + Sliced Cucumber [410 kcal, 21g P, 42g C, 15g F, ₹38]</t>
        </is>
      </c>
      <c r="O22" s="8" t="inlineStr">
        <is>
          <t>2 Ragi Rotis (120g) + Mixed Vegetable Sambar (180ml) + Sautéed Palak (100g) [380 kcal, 14g P, 54g C, 8g F, ₹30]</t>
        </is>
      </c>
      <c r="P22" s="8" t="inlineStr">
        <is>
          <t>Optional Pre: 1 cup tender coconut water [45 kcal] • Post: 1 glass warm milk (150ml) [85 kcal, 5g P]</t>
        </is>
      </c>
      <c r="Q22" s="9" t="n">
        <v>1460</v>
      </c>
      <c r="R22" s="9" t="n">
        <v>85</v>
      </c>
      <c r="S22" s="9" t="n">
        <v>180</v>
      </c>
      <c r="T22" s="9" t="n">
        <v>40.5</v>
      </c>
      <c r="U22" s="9" t="n">
        <v>194</v>
      </c>
      <c r="V22" s="8" t="inlineStr">
        <is>
          <t>Dry roast semolina lightly. Tempered with mustard seeds, chana dal, green chillies &amp; mixed veggies. Use fresh local fish cuts (rohu, pomfret, or seer fish). Simmer gently for 8 mins.</t>
        </is>
      </c>
    </row>
    <row r="23" ht="36" customHeight="1">
      <c r="A23" s="10" t="inlineStr">
        <is>
          <t>2026-11-14</t>
        </is>
      </c>
      <c r="B23" s="10" t="n">
        <v>22</v>
      </c>
      <c r="C23" s="10" t="inlineStr">
        <is>
          <t>Saturday</t>
        </is>
      </c>
      <c r="D23" s="11" t="inlineStr">
        <is>
          <t>Nourishing Rolled Oats &amp; Tender Chicken Palya</t>
        </is>
      </c>
      <c r="E23" s="11" t="inlineStr">
        <is>
          <t>Warm Rolled Oats (40g dry + 180ml toned milk) + 1 Boiled Egg + Apple slices (50g) [345 kcal, 18g P, 46g C, 10g F, ₹35]</t>
        </is>
      </c>
      <c r="F23" s="11" t="inlineStr">
        <is>
          <t>Vegetable Poha (160g cooked) + 2 Boiled Eggs [360 kcal, 18g P, 42g C, 14g F, ₹32]</t>
        </is>
      </c>
      <c r="G23" s="11" t="inlineStr">
        <is>
          <t>2 Plain Dosas (120g) + Toor Dal Sambar (150ml) + 1 cup warm sprouted moong [330 kcal, 14g P, 48g C, 7g F, ₹25]</t>
        </is>
      </c>
      <c r="H23" s="11" t="inlineStr">
        <is>
          <t>Tender Coconut Water (220ml) + 5 Soaked Almonds [95 kcal, 3g P, 12g C, 4g F, ₹40] | Alt: Fresh Spiced Buttermilk (220ml) with coriander &amp; rock salt [45 kcal, 3g P, 4g C, 1.5g F, ₹15]</t>
        </is>
      </c>
      <c r="I23" s="11" t="inlineStr">
        <is>
          <t>Sona Masoori Rice (150g cooked) + Tender Chicken Curry (130g raw / 95g meat) + Palak (Spinach) Palya (140g) + Rasam [470 kcal, 35g P, 46g C, 13g F, ₹75]</t>
        </is>
      </c>
      <c r="J23" s="11" t="inlineStr">
        <is>
          <t>2 Soft Phulkas (80g) + Fresh Paneer Curry (85g paneer in light gravy) + French Beans Palya (120g) [450 kcal, 21g P, 44g C, 19g F, ₹55]</t>
        </is>
      </c>
      <c r="K23" s="11" t="inlineStr">
        <is>
          <t>Rice (150g) + Toor Dal Tadka (180g) + 2 Boiled Eggs + Beetroot Poriyal (120g) [460 kcal, 25g P, 52g C, 14g F, ₹42]</t>
        </is>
      </c>
      <c r="L23" s="11" t="inlineStr">
        <is>
          <t>Roasted Makhana (30g) + Hot Green Tea with lemon [130 kcal, 3g P, 21g C, 3.5g F, ₹25] | Alt: Boiled Chickpeas Sundal (70g) with mustard &amp; curry leaves [125 kcal, 6g P, 20g C, 2.5g F, ₹18]</t>
        </is>
      </c>
      <c r="M23" s="11" t="inlineStr">
        <is>
          <t>2 Soft Phulkas (75g) + 2 Boiled Eggs in Tomato Onion Curry + Cucumber Salad (100g) [415 kcal, 21g P, 42g C, 15g F, ₹38]</t>
        </is>
      </c>
      <c r="N23" s="11" t="inlineStr">
        <is>
          <t>2 Phulkas (75g) + Grilled Chicken Strips (100g cooked) + Mixed Sautéed Capsicum &amp; Onions [425 kcal, 32g P, 40g C, 11g F, ₹65]</t>
        </is>
      </c>
      <c r="O23" s="11" t="inlineStr">
        <is>
          <t>Warm Moong Dal Vegetable Khichdi (220g) + Fresh Curd (100g) [380 kcal, 15g P, 56g C, 8g F, ₹35]</t>
        </is>
      </c>
      <c r="P23" s="11" t="inlineStr">
        <is>
          <t>Optional Pre: 1 small banana [70 kcal] • Post: 1 cup warm turmeric milk [90 kcal, 6g P]</t>
        </is>
      </c>
      <c r="Q23" s="12" t="n">
        <v>1455</v>
      </c>
      <c r="R23" s="12" t="n">
        <v>80</v>
      </c>
      <c r="S23" s="12" t="n">
        <v>167</v>
      </c>
      <c r="T23" s="12" t="n">
        <v>45.5</v>
      </c>
      <c r="U23" s="12" t="n">
        <v>213</v>
      </c>
      <c r="V23" s="11" t="inlineStr">
        <is>
          <t>Cook oats in milk for 4 mins on medium flame. Stir in pinch of cinnamon powder. Weigh raw boneless chicken (130g). Steam spinach lightly with mustard tempering.</t>
        </is>
      </c>
    </row>
    <row r="24" ht="36" customHeight="1">
      <c r="A24" s="7" t="inlineStr">
        <is>
          <t>2026-11-15</t>
        </is>
      </c>
      <c r="B24" s="7" t="n">
        <v>23</v>
      </c>
      <c r="C24" s="7" t="inlineStr">
        <is>
          <t>Sunday</t>
        </is>
      </c>
      <c r="D24" s="8" t="inlineStr">
        <is>
          <t>Calcium-Rich Ragi Dosa &amp; Fresh Country Egg Feast</t>
        </is>
      </c>
      <c r="E24" s="8" t="inlineStr">
        <is>
          <t>Ragi Dosa (2 medium, 120g) + Coconut Mint Chutney (30g) + 2 Boiled Eggs [350 kcal, 19g P, 40g C, 13g F, ₹35]</t>
        </is>
      </c>
      <c r="F24" s="8" t="inlineStr">
        <is>
          <t>Steamed Idlis (3 pcs, 110g) + Vegetable Sambar (150ml) + 1 Boiled Egg [310 kcal, 13g P, 44g C, 8g F, ₹25]</t>
        </is>
      </c>
      <c r="G24" s="8" t="inlineStr">
        <is>
          <t>Vegetable Upma (180g) + Warm Toned Milk (150ml) [320 kcal, 11g P, 48g C, 9g F, ₹22]</t>
        </is>
      </c>
      <c r="H24" s="8" t="inlineStr">
        <is>
          <t>Fresh Seasonal Fruit (1 Medium Apple or 150g Papaya) + 6 Almonds [115 kcal, 3g P, 22g C, 3.5g F, ₹30] | Alt: Tender Coconut Water (220ml) [45 kcal, 1g P, 10g C, 0g F, ₹35]</t>
        </is>
      </c>
      <c r="I24" s="8" t="inlineStr">
        <is>
          <t>2 Soft Phulkas (80g) + Homestyle Egg Curry (2 eggs) + Cabbage &amp; Carrot Poriyal (140g) + Rasam [445 kcal, 22g P, 48g C, 16g F, ₹42]</t>
        </is>
      </c>
      <c r="J24" s="8" t="inlineStr">
        <is>
          <t>Sona Masoori Rice (150g) + Bengaluru Chicken Curry (95g meat) + Beans Palya (120g) [475 kcal, 34g P, 48g C, 14g F, ₹75]</t>
        </is>
      </c>
      <c r="K24" s="8" t="inlineStr">
        <is>
          <t>Rice (150g) + Thick Toor Dal Tadka (180g) + Fresh Curd (100g) + Tomato Cucumber Salad [440 kcal, 18g P, 56g C, 14g F, ₹40]</t>
        </is>
      </c>
      <c r="L24" s="8" t="inlineStr">
        <is>
          <t>Spiced Boiled Sundal / Chickpeas (80g) with lime [140 kcal, 7g P, 22g C, 3g F, ₹20] | Alt: Roasted Makhana (30g) in 1/2 tsp ghee &amp; rock salt [130 kcal, 3g P, 21g C, 3.5g F, ₹25]</t>
        </is>
      </c>
      <c r="M24" s="8" t="inlineStr">
        <is>
          <t>2 Soft Phulkas (75g) + Home Chicken Curry (100g meat) + Cucumber Salad (100g) [420 kcal, 31g P, 42g C, 12g F, ₹65]</t>
        </is>
      </c>
      <c r="N24" s="8" t="inlineStr">
        <is>
          <t>2 Phulkas (75g) + Fresh Paneer Bhurji (90g paneer, capsicum, onion) + Clear Soup [440 kcal, 20g P, 42g C, 20g F, ₹55]</t>
        </is>
      </c>
      <c r="O24" s="8" t="inlineStr">
        <is>
          <t>Rice-Moong Dal Khichdi (220g) + Curd (100g) + Lauki Sabzi (120g) [385 kcal, 14g P, 58g C, 8.5g F, ₹35]</t>
        </is>
      </c>
      <c r="P24" s="8" t="inlineStr">
        <is>
          <t>Optional Pre: 1 cup tender coconut water [45 kcal] • Post: 1 glass warm milk (150ml) [85 kcal, 5g P]</t>
        </is>
      </c>
      <c r="Q24" s="9" t="n">
        <v>1470</v>
      </c>
      <c r="R24" s="9" t="n">
        <v>82</v>
      </c>
      <c r="S24" s="9" t="n">
        <v>174</v>
      </c>
      <c r="T24" s="9" t="n">
        <v>47.5</v>
      </c>
      <c r="U24" s="9" t="n">
        <v>192</v>
      </c>
      <c r="V24" s="8" t="inlineStr">
        <is>
          <t>Mix ragi flour with equal water, pinch of salt, cumin seeds &amp; chopped onion. Pour on medium hot tawa. Cook vegetables in minimum oil with mustard seeds, curry leaves &amp; grated fresh coconut.</t>
        </is>
      </c>
    </row>
    <row r="25" ht="36" customHeight="1">
      <c r="A25" s="10" t="inlineStr">
        <is>
          <t>2026-11-16</t>
        </is>
      </c>
      <c r="B25" s="10" t="n">
        <v>24</v>
      </c>
      <c r="C25" s="10" t="inlineStr">
        <is>
          <t>Monday</t>
        </is>
      </c>
      <c r="D25" s="11" t="inlineStr">
        <is>
          <t>High-Fiber Soya Chunks &amp; Comfort Idli Sambar</t>
        </is>
      </c>
      <c r="E25" s="11" t="inlineStr">
        <is>
          <t>Steamed Idlis (3 pcs, 110g) + Vegetable Sambar (150ml) + 2 Boiled Eggs [340 kcal, 19g P, 38g C, 12g F, ₹35]</t>
        </is>
      </c>
      <c r="F25" s="11" t="inlineStr">
        <is>
          <t>Vegetable Poha (160g cooked) + 1 Boiled Egg [310 kcal, 12g P, 44g C, 9g F, ₹26]</t>
        </is>
      </c>
      <c r="G25" s="11" t="inlineStr">
        <is>
          <t>Rolled Oats cooked in toned milk (40g + 180ml milk) with 1/2 apple [290 kcal, 12g P, 45g C, 6g F, ₹30]</t>
        </is>
      </c>
      <c r="H25" s="11" t="inlineStr">
        <is>
          <t>Spiced Buttermilk / Majjige (220ml) with curry leaves &amp; ginger [45 kcal, 3g P, 4g C, 1.5g F, ₹15] | Alt: Fresh Papaya slices (150g) + 5 almonds [110 kcal, 3g P, 22g C, 3g F, ₹28]</t>
        </is>
      </c>
      <c r="I25" s="11" t="inlineStr">
        <is>
          <t>Sona Masoori Rice (150g cooked) + Soya Chunks Curry (45g dry soya chunks cooked in onion-tomato gravy) + French Beans Palya (130g) + Rasam [460 kcal, 31g P, 56g C, 9g F, ₹42]</t>
        </is>
      </c>
      <c r="J25" s="11" t="inlineStr">
        <is>
          <t>2 Phulkas (80g) + Chicken Curry (95g meat) + Cabbage Poriyal (120g) [440 kcal, 31g P, 44g C, 13g F, ₹65]</t>
        </is>
      </c>
      <c r="K25" s="11" t="inlineStr">
        <is>
          <t>Rice (150g) + Thick Toor Dal (180g) + 2 Boiled Eggs + Ridge Gourd Palya (120g) [455 kcal, 24g P, 52g C, 14g F, ₹40]</t>
        </is>
      </c>
      <c r="L25" s="11" t="inlineStr">
        <is>
          <t>Roasted Kadale / Chana (30g) + Hot Elaichi Tea (100ml milk) [140 kcal, 6g P, 20g C, 3.5g F, ₹18] | Alt: Roasted Makhana (30g) in ghee &amp; rock salt [130 kcal, 3g P, 21g C, 3.5g F, ₹25]</t>
        </is>
      </c>
      <c r="M25" s="11" t="inlineStr">
        <is>
          <t>2 Soft Phulkas (75g) + 2 Boiled Eggs in Mild Curry + Cucumber Carrot Salad (120g) [415 kcal, 21g P, 42g C, 15g F, ₹38]</t>
        </is>
      </c>
      <c r="N25" s="11" t="inlineStr">
        <is>
          <t>2 Phulkas (75g) + Paneer Bhurji (90g paneer, capsicum, tomato) + Warm Soup [445 kcal, 20g P, 44g C, 19g F, ₹58]</t>
        </is>
      </c>
      <c r="O25" s="11" t="inlineStr">
        <is>
          <t>2 Ragi Rotis (120g) + Chicken Curry (90g meat) + Cucumber Slices [425 kcal, 30g P, 46g C, 11g F, ₹68]</t>
        </is>
      </c>
      <c r="P25" s="11" t="inlineStr">
        <is>
          <t>Optional Pre: 1 small banana [70 kcal] • Post: 1 glass warm milk [90 kcal, 6g P]</t>
        </is>
      </c>
      <c r="Q25" s="12" t="n">
        <v>1400</v>
      </c>
      <c r="R25" s="12" t="n">
        <v>80</v>
      </c>
      <c r="S25" s="12" t="n">
        <v>160</v>
      </c>
      <c r="T25" s="12" t="n">
        <v>41</v>
      </c>
      <c r="U25" s="12" t="n">
        <v>151</v>
      </c>
      <c r="V25" s="11" t="inlineStr">
        <is>
          <t>Dip idlis in piping hot sambar. Eggs provide complete amino acid profile. Soak soya chunks in warm water for 15 mins. Squeeze out bitter water completely before cooking.</t>
        </is>
      </c>
    </row>
    <row r="26" ht="36" customHeight="1">
      <c r="A26" s="7" t="inlineStr">
        <is>
          <t>2026-11-17</t>
        </is>
      </c>
      <c r="B26" s="7" t="n">
        <v>25</v>
      </c>
      <c r="C26" s="7" t="inlineStr">
        <is>
          <t>Tuesday</t>
        </is>
      </c>
      <c r="D26" s="8" t="inlineStr">
        <is>
          <t>Comfort Steamed Staples &amp; Bengaluru Chicken Curry</t>
        </is>
      </c>
      <c r="E26" s="8" t="inlineStr">
        <is>
          <t>Steamed Idlis (3 pcs, 110g) + Veg Sambar (150ml) + 2 Boiled Eggs (100g) [340 kcal, 19g P, 38g C, 12g F, ₹35]</t>
        </is>
      </c>
      <c r="F26" s="8" t="inlineStr">
        <is>
          <t>Steamed Idlis (3 pcs) + Veg Sambar + 1 cup warm sprouted moong salad (100g) [310 kcal, 13g P, 46g C, 5g F, ₹25]</t>
        </is>
      </c>
      <c r="G26" s="8" t="inlineStr">
        <is>
          <t>Ragi Dosa (2 medium, 120g) + Mint Chutney (30g) + 1 Boiled Egg [320 kcal, 14g P, 42g C, 11g F, ₹28]</t>
        </is>
      </c>
      <c r="H26" s="8" t="inlineStr">
        <is>
          <t>Tender Coconut Water (220ml) + Handful Roasted Chana (25g) [130 kcal, 5g P, 22g C, 2g F, ₹40] | Alt: Fresh Papaya slices (150g) + 5 soaked almonds [110 kcal, 3g P, 22g C, 3g F, ₹30]</t>
        </is>
      </c>
      <c r="I26" s="8" t="inlineStr">
        <is>
          <t>Sona Masoori Rice (150g cooked / 55g raw) + Bengaluru Chicken Curry (130g raw / 95g cooked meat) + French Beans Palya (130g) + Pepper Rasam [475 kcal, 34g P, 48g C, 14g F, ₹75]</t>
        </is>
      </c>
      <c r="J26" s="8" t="inlineStr">
        <is>
          <t>2 Soft Wheat Phulkas (80g) + Homestyle Egg Curry (2 eggs in onion-tomato gravy) + Cabbage Poriyal (140g) [440 kcal, 21g P, 48g C, 16g F, ₹40]</t>
        </is>
      </c>
      <c r="K26" s="8" t="inlineStr">
        <is>
          <t>Sona Masoori Rice (150g) + Thick Toor Dal Tadka (180g) + Paneer Palya (80g paneer) + Fresh Curd (100g) [480 kcal, 23g P, 54g C, 18g F, ₹55]</t>
        </is>
      </c>
      <c r="L26" s="8" t="inlineStr">
        <is>
          <t>Spiced Boiled Sundal / Chickpeas (80g) with mustard tempering &amp; lemon [140 kcal, 7g P, 22g C, 3g F, ₹20] | Alt: Roasted Makhana (30g) in 1/2 tsp ghee &amp; rock salt [130 kcal, 3g P, 21g C, 3.5g F, ₹25]</t>
        </is>
      </c>
      <c r="M26" s="8" t="inlineStr">
        <is>
          <t>2 Soft Whole Wheat Phulkas (75g) + Grilled/Pan Chicken Curry (100g meat) + Cucumber Tomato Salad (120g) [420 kcal, 31g P, 42g C, 12g F, ₹65]</t>
        </is>
      </c>
      <c r="N26" s="8" t="inlineStr">
        <is>
          <t>2 Phulkas (75g) + Fresh Paneer Bhurji (90g paneer with capsicum &amp; onion) + Tomato Clear Soup [440 kcal, 20g P, 42g C, 20g F, ₹55]</t>
        </is>
      </c>
      <c r="O26" s="8" t="inlineStr">
        <is>
          <t>Warm Rice-Moong Dal Khichdi (220g) + Fresh Curd (100g) + Steamed Beetroot Poriyal (100g) [380 kcal, 14g P, 58g C, 8g F, ₹35]</t>
        </is>
      </c>
      <c r="P26" s="8" t="inlineStr">
        <is>
          <t>Optional Pre: 1 small banana (80g) [70 kcal] • Post: 1 glass warm toned milk with turmeric (180ml) [95 kcal, 6g P]</t>
        </is>
      </c>
      <c r="Q26" s="9" t="n">
        <v>1505</v>
      </c>
      <c r="R26" s="9" t="n">
        <v>96</v>
      </c>
      <c r="S26" s="9" t="n">
        <v>172</v>
      </c>
      <c r="T26" s="9" t="n">
        <v>43</v>
      </c>
      <c r="U26" s="9" t="n">
        <v>235</v>
      </c>
      <c r="V26" s="8" t="inlineStr">
        <is>
          <t>Steam idlis in idli cooker for 10-12 mins. Weigh 110g cooked on kitchen scale. Zero plate on scale, measure 150g warm rice, then add 95g cooked chicken meat without bones.</t>
        </is>
      </c>
    </row>
    <row r="27" ht="36" customHeight="1">
      <c r="A27" s="10" t="inlineStr">
        <is>
          <t>2026-11-18</t>
        </is>
      </c>
      <c r="B27" s="10" t="n">
        <v>26</v>
      </c>
      <c r="C27" s="10" t="inlineStr">
        <is>
          <t>Wednesday</t>
        </is>
      </c>
      <c r="D27" s="11" t="inlineStr">
        <is>
          <t>Iron-Rich Poha, Egg Curry &amp; Golden Turmeric Phulkas</t>
        </is>
      </c>
      <c r="E27" s="11" t="inlineStr">
        <is>
          <t>Vegetable Poha (160g cooked) tempered with mustard &amp; roasted peanuts (15g) + 1 Boiled Egg [330 kcal, 13g P, 44g C, 11g F, ₹28]</t>
        </is>
      </c>
      <c r="F27" s="11" t="inlineStr">
        <is>
          <t>Vegetable Poha (180g) + 1 glass warm toned milk (150ml) [310 kcal, 11g P, 48g C, 8g F, ₹24]</t>
        </is>
      </c>
      <c r="G27" s="11" t="inlineStr">
        <is>
          <t>Rolled Oats cooked in milk (40g oats + 180ml toned milk) with half diced apple [290 kcal, 12g P, 45g C, 6g F, ₹30]</t>
        </is>
      </c>
      <c r="H27" s="11" t="inlineStr">
        <is>
          <t>Spiced Majjige / Buttermilk (220ml) with grated ginger &amp; curry leaves [45 kcal, 3g P, 4g C, 1.5g F, ₹15] | Alt: 1 Crisp Guava or Apple (130g) with pinch of rock salt [75 kcal, 1.5g P, 18g C, 0.5g F, ₹20]</t>
        </is>
      </c>
      <c r="I27" s="11" t="inlineStr">
        <is>
          <t>2 Soft Phulkas (80g) + 2 Boiled Eggs in Onion-Tomato Gravy (120g gravy) + Ridge Gourd (Heerekayi) Palya (140g) [450 kcal, 22g P, 48g C, 17g F, ₹45]</t>
        </is>
      </c>
      <c r="J27" s="11" t="inlineStr">
        <is>
          <t>Sona Masoori Rice (150g) + Fish Curry (120g rohu/pomfret in light coconut gravy) + Beans Poriyal (120g) [460 kcal, 32g P, 46g C, 13g F, ₹80]</t>
        </is>
      </c>
      <c r="K27" s="11" t="inlineStr">
        <is>
          <t>Cooked Rice (150g) + Mixed Vegetable Sambar (180g) + Pan-seared Tofu or Paneer (80g) + Cucumber Slices [465 kcal, 21g P, 52g C, 17g F, ₹55]</t>
        </is>
      </c>
      <c r="L27" s="11" t="inlineStr">
        <is>
          <t>Boiled Sweet Corn (120g) with lemon squeeze &amp; chaat masala [120 kcal, 4g P, 24g C, 1.5g F, ₹20] | Alt: Roasted Kadale / Chana (30g) + Warm Elaichi Green Tea [125 kcal, 6g P, 18g C, 2.5g F, ₹15]</t>
        </is>
      </c>
      <c r="M27" s="11" t="inlineStr">
        <is>
          <t>2 Soft Phulkas (75g) + Fresh Paneer Bhurji (90g paneer, capsicum, tomato) + Warm Tomato Rasam (150ml) [445 kcal, 21g P, 44g C, 19g F, ₹60]</t>
        </is>
      </c>
      <c r="N27" s="11" t="inlineStr">
        <is>
          <t>2 Ragi Rotis (130g) + Chicken Curry (90g cooked meat) + Onion Cucumber Raita (80g) [430 kcal, 30g P, 46g C, 11g F, ₹70]</t>
        </is>
      </c>
      <c r="O27" s="11" t="inlineStr">
        <is>
          <t>Moong Dal Vegetable Dalia Khichdi (220g) + Fresh Curd (100g) [390 kcal, 16g P, 54g C, 9g F, ₹35]</t>
        </is>
      </c>
      <c r="P27" s="11" t="inlineStr">
        <is>
          <t>Optional Pre: 2 Medjool dates [80 kcal] • Post: 1 boiled egg white or 100g warm milk [55 kcal, 4g P]</t>
        </is>
      </c>
      <c r="Q27" s="12" t="n">
        <v>1390</v>
      </c>
      <c r="R27" s="12" t="n">
        <v>63</v>
      </c>
      <c r="S27" s="12" t="n">
        <v>164</v>
      </c>
      <c r="T27" s="12" t="n">
        <v>50</v>
      </c>
      <c r="U27" s="12" t="n">
        <v>168</v>
      </c>
      <c r="V27" s="11" t="inlineStr">
        <is>
          <t>Rinse thick poha in colander, drain well. Sauté with onion, curry leaves, carrots &amp; roasted peanuts. Prick boiled eggs gently before simmering in gravy to absorb rich flavours.</t>
        </is>
      </c>
    </row>
    <row r="28" ht="36" customHeight="1">
      <c r="A28" s="7" t="inlineStr">
        <is>
          <t>2026-11-19</t>
        </is>
      </c>
      <c r="B28" s="7" t="n">
        <v>27</v>
      </c>
      <c r="C28" s="7" t="inlineStr">
        <is>
          <t>Thursday</t>
        </is>
      </c>
      <c r="D28" s="8" t="inlineStr">
        <is>
          <t>Bengaluru Rava Upma &amp; Fresh Coastal Home Curry</t>
        </is>
      </c>
      <c r="E28" s="8" t="inlineStr">
        <is>
          <t>Bengaluru Vegetable Rava Upma (180g cooked) with roasted peanuts + 1 Boiled Egg [340 kcal, 14g P, 44g C, 12g F, ₹26]</t>
        </is>
      </c>
      <c r="F28" s="8" t="inlineStr">
        <is>
          <t>Vegetable Upma (180g) + 1 glass warm toned milk (150ml) [320 kcal, 11g P, 48g C, 9g F, ₹24]</t>
        </is>
      </c>
      <c r="G28" s="8" t="inlineStr">
        <is>
          <t>Steamed Idlis (3 pcs) with Mint Toor Dal Chutney (40g) + 1 Boiled Egg [320 kcal, 15g P, 42g C, 9g F, ₹28]</t>
        </is>
      </c>
      <c r="H28" s="8" t="inlineStr">
        <is>
          <t>Fresh Fruit Bowl (150g watermelon or papaya) + 6 soaked almonds [110 kcal, 3g P, 22g C, 3g F, ₹30] | Alt: Tender Coconut Water (220ml) [45 kcal, 1g P, 10g C, 0g F, ₹35]</t>
        </is>
      </c>
      <c r="I28" s="8" t="inlineStr">
        <is>
          <t>Sona Masoori Rice (150g cooked) + Bengaluru Fish Curry (120g fresh fish in light gravy) + Cabbage &amp; Pea Poriyal (130g) + Rasam [450 kcal, 33g P, 46g C, 13g F, ₹80]</t>
        </is>
      </c>
      <c r="J28" s="8" t="inlineStr">
        <is>
          <t>2 Phulkas (80g) + Chicken Curry (95g cooked meat) + Cucumber Carrot Salad (100g) [440 kcal, 31g P, 44g C, 13g F, ₹65]</t>
        </is>
      </c>
      <c r="K28" s="8" t="inlineStr">
        <is>
          <t>Rice (150g) + Thick Chana Dal (180g) + Beans Palya (130g) + Fresh Curd (100g) [470 kcal, 22g P, 56g C, 15g F, ₹45]</t>
        </is>
      </c>
      <c r="L28" s="8" t="inlineStr">
        <is>
          <t>Roasted Puri Kadale / Chana (30g) + Warm Ginger Tea (100ml low-fat milk) [140 kcal, 6g P, 20g C, 3.5g F, ₹18] | Alt: Spiced Boiled Moong Sprouts (80g) with lime &amp; salt [110 kcal, 7g P, 18g C, 1g F, ₹15]</t>
        </is>
      </c>
      <c r="M28" s="8" t="inlineStr">
        <is>
          <t>2 Soft Phulkas (75g) + Soya Chunks &amp; Green Pea Curry (45g dry soya + 50g peas) + Fresh Curd (80g) [420 kcal, 29g P, 48g C, 9g F, ₹40]</t>
        </is>
      </c>
      <c r="N28" s="8" t="inlineStr">
        <is>
          <t>2 Phulkas (75g) + 2 Boiled Eggs in Homestyle Curry (100g) + Sliced Cucumber [410 kcal, 21g P, 42g C, 15g F, ₹38]</t>
        </is>
      </c>
      <c r="O28" s="8" t="inlineStr">
        <is>
          <t>2 Ragi Rotis (120g) + Mixed Vegetable Sambar (180ml) + Sautéed Palak (100g) [380 kcal, 14g P, 54g C, 8g F, ₹30]</t>
        </is>
      </c>
      <c r="P28" s="8" t="inlineStr">
        <is>
          <t>Optional Pre: 1 cup tender coconut water [45 kcal] • Post: 1 glass warm milk (150ml) [85 kcal, 5g P]</t>
        </is>
      </c>
      <c r="Q28" s="9" t="n">
        <v>1460</v>
      </c>
      <c r="R28" s="9" t="n">
        <v>85</v>
      </c>
      <c r="S28" s="9" t="n">
        <v>180</v>
      </c>
      <c r="T28" s="9" t="n">
        <v>40.5</v>
      </c>
      <c r="U28" s="9" t="n">
        <v>194</v>
      </c>
      <c r="V28" s="8" t="inlineStr">
        <is>
          <t>Dry roast semolina lightly. Tempered with mustard seeds, chana dal, green chillies &amp; mixed veggies. Use fresh local fish cuts (rohu, pomfret, or seer fish). Simmer gently for 8 mins.</t>
        </is>
      </c>
    </row>
    <row r="29" ht="36" customHeight="1">
      <c r="A29" s="10" t="inlineStr">
        <is>
          <t>2026-11-20</t>
        </is>
      </c>
      <c r="B29" s="10" t="n">
        <v>28</v>
      </c>
      <c r="C29" s="10" t="inlineStr">
        <is>
          <t>Friday</t>
        </is>
      </c>
      <c r="D29" s="11" t="inlineStr">
        <is>
          <t>Nourishing Rolled Oats &amp; Tender Chicken Palya</t>
        </is>
      </c>
      <c r="E29" s="11" t="inlineStr">
        <is>
          <t>Warm Rolled Oats (40g dry + 180ml toned milk) + 1 Boiled Egg + Apple slices (50g) [345 kcal, 18g P, 46g C, 10g F, ₹35]</t>
        </is>
      </c>
      <c r="F29" s="11" t="inlineStr">
        <is>
          <t>Vegetable Poha (160g cooked) + 2 Boiled Eggs [360 kcal, 18g P, 42g C, 14g F, ₹32]</t>
        </is>
      </c>
      <c r="G29" s="11" t="inlineStr">
        <is>
          <t>2 Plain Dosas (120g) + Toor Dal Sambar (150ml) + 1 cup warm sprouted moong [330 kcal, 14g P, 48g C, 7g F, ₹25]</t>
        </is>
      </c>
      <c r="H29" s="11" t="inlineStr">
        <is>
          <t>Tender Coconut Water (220ml) + 5 Soaked Almonds [95 kcal, 3g P, 12g C, 4g F, ₹40] | Alt: Fresh Spiced Buttermilk (220ml) with coriander &amp; rock salt [45 kcal, 3g P, 4g C, 1.5g F, ₹15]</t>
        </is>
      </c>
      <c r="I29" s="11" t="inlineStr">
        <is>
          <t>Sona Masoori Rice (150g cooked) + Tender Chicken Curry (130g raw / 95g meat) + Palak (Spinach) Palya (140g) + Rasam [470 kcal, 35g P, 46g C, 13g F, ₹75]</t>
        </is>
      </c>
      <c r="J29" s="11" t="inlineStr">
        <is>
          <t>2 Soft Phulkas (80g) + Fresh Paneer Curry (85g paneer in light gravy) + French Beans Palya (120g) [450 kcal, 21g P, 44g C, 19g F, ₹55]</t>
        </is>
      </c>
      <c r="K29" s="11" t="inlineStr">
        <is>
          <t>Rice (150g) + Toor Dal Tadka (180g) + 2 Boiled Eggs + Beetroot Poriyal (120g) [460 kcal, 25g P, 52g C, 14g F, ₹42]</t>
        </is>
      </c>
      <c r="L29" s="11" t="inlineStr">
        <is>
          <t>Roasted Makhana (30g) + Hot Green Tea with lemon [130 kcal, 3g P, 21g C, 3.5g F, ₹25] | Alt: Boiled Chickpeas Sundal (70g) with mustard &amp; curry leaves [125 kcal, 6g P, 20g C, 2.5g F, ₹18]</t>
        </is>
      </c>
      <c r="M29" s="11" t="inlineStr">
        <is>
          <t>2 Soft Phulkas (75g) + 2 Boiled Eggs in Tomato Onion Curry + Cucumber Salad (100g) [415 kcal, 21g P, 42g C, 15g F, ₹38]</t>
        </is>
      </c>
      <c r="N29" s="11" t="inlineStr">
        <is>
          <t>2 Phulkas (75g) + Grilled Chicken Strips (100g cooked) + Mixed Sautéed Capsicum &amp; Onions [425 kcal, 32g P, 40g C, 11g F, ₹65]</t>
        </is>
      </c>
      <c r="O29" s="11" t="inlineStr">
        <is>
          <t>Warm Moong Dal Vegetable Khichdi (220g) + Fresh Curd (100g) [380 kcal, 15g P, 56g C, 8g F, ₹35]</t>
        </is>
      </c>
      <c r="P29" s="11" t="inlineStr">
        <is>
          <t>Optional Pre: 1 small banana [70 kcal] • Post: 1 cup warm turmeric milk [90 kcal, 6g P]</t>
        </is>
      </c>
      <c r="Q29" s="12" t="n">
        <v>1455</v>
      </c>
      <c r="R29" s="12" t="n">
        <v>80</v>
      </c>
      <c r="S29" s="12" t="n">
        <v>167</v>
      </c>
      <c r="T29" s="12" t="n">
        <v>45.5</v>
      </c>
      <c r="U29" s="12" t="n">
        <v>213</v>
      </c>
      <c r="V29" s="11" t="inlineStr">
        <is>
          <t>Cook oats in milk for 4 mins on medium flame. Stir in pinch of cinnamon powder. Weigh raw boneless chicken (130g). Steam spinach lightly with mustard tempering.</t>
        </is>
      </c>
    </row>
    <row r="30" ht="36" customHeight="1">
      <c r="A30" s="7" t="inlineStr">
        <is>
          <t>2026-11-21</t>
        </is>
      </c>
      <c r="B30" s="7" t="n">
        <v>29</v>
      </c>
      <c r="C30" s="7" t="inlineStr">
        <is>
          <t>Saturday</t>
        </is>
      </c>
      <c r="D30" s="8" t="inlineStr">
        <is>
          <t>Calcium-Rich Ragi Dosa &amp; Fresh Country Egg Feast</t>
        </is>
      </c>
      <c r="E30" s="8" t="inlineStr">
        <is>
          <t>Ragi Dosa (2 medium, 120g) + Coconut Mint Chutney (30g) + 2 Boiled Eggs [350 kcal, 19g P, 40g C, 13g F, ₹35]</t>
        </is>
      </c>
      <c r="F30" s="8" t="inlineStr">
        <is>
          <t>Steamed Idlis (3 pcs, 110g) + Vegetable Sambar (150ml) + 1 Boiled Egg [310 kcal, 13g P, 44g C, 8g F, ₹25]</t>
        </is>
      </c>
      <c r="G30" s="8" t="inlineStr">
        <is>
          <t>Vegetable Upma (180g) + Warm Toned Milk (150ml) [320 kcal, 11g P, 48g C, 9g F, ₹22]</t>
        </is>
      </c>
      <c r="H30" s="8" t="inlineStr">
        <is>
          <t>Fresh Seasonal Fruit (1 Medium Apple or 150g Papaya) + 6 Almonds [115 kcal, 3g P, 22g C, 3.5g F, ₹30] | Alt: Tender Coconut Water (220ml) [45 kcal, 1g P, 10g C, 0g F, ₹35]</t>
        </is>
      </c>
      <c r="I30" s="8" t="inlineStr">
        <is>
          <t>2 Soft Phulkas (80g) + Homestyle Egg Curry (2 eggs) + Cabbage &amp; Carrot Poriyal (140g) + Rasam [445 kcal, 22g P, 48g C, 16g F, ₹42]</t>
        </is>
      </c>
      <c r="J30" s="8" t="inlineStr">
        <is>
          <t>Sona Masoori Rice (150g) + Bengaluru Chicken Curry (95g meat) + Beans Palya (120g) [475 kcal, 34g P, 48g C, 14g F, ₹75]</t>
        </is>
      </c>
      <c r="K30" s="8" t="inlineStr">
        <is>
          <t>Rice (150g) + Thick Toor Dal Tadka (180g) + Fresh Curd (100g) + Tomato Cucumber Salad [440 kcal, 18g P, 56g C, 14g F, ₹40]</t>
        </is>
      </c>
      <c r="L30" s="8" t="inlineStr">
        <is>
          <t>Spiced Boiled Sundal / Chickpeas (80g) with lime [140 kcal, 7g P, 22g C, 3g F, ₹20] | Alt: Roasted Makhana (30g) in 1/2 tsp ghee &amp; rock salt [130 kcal, 3g P, 21g C, 3.5g F, ₹25]</t>
        </is>
      </c>
      <c r="M30" s="8" t="inlineStr">
        <is>
          <t>2 Soft Phulkas (75g) + Home Chicken Curry (100g meat) + Cucumber Salad (100g) [420 kcal, 31g P, 42g C, 12g F, ₹65]</t>
        </is>
      </c>
      <c r="N30" s="8" t="inlineStr">
        <is>
          <t>2 Phulkas (75g) + Fresh Paneer Bhurji (90g paneer, capsicum, onion) + Clear Soup [440 kcal, 20g P, 42g C, 20g F, ₹55]</t>
        </is>
      </c>
      <c r="O30" s="8" t="inlineStr">
        <is>
          <t>Rice-Moong Dal Khichdi (220g) + Curd (100g) + Lauki Sabzi (120g) [385 kcal, 14g P, 58g C, 8.5g F, ₹35]</t>
        </is>
      </c>
      <c r="P30" s="8" t="inlineStr">
        <is>
          <t>Optional Pre: 1 cup tender coconut water [45 kcal] • Post: 1 glass warm milk (150ml) [85 kcal, 5g P]</t>
        </is>
      </c>
      <c r="Q30" s="9" t="n">
        <v>1470</v>
      </c>
      <c r="R30" s="9" t="n">
        <v>82</v>
      </c>
      <c r="S30" s="9" t="n">
        <v>174</v>
      </c>
      <c r="T30" s="9" t="n">
        <v>47.5</v>
      </c>
      <c r="U30" s="9" t="n">
        <v>192</v>
      </c>
      <c r="V30" s="8" t="inlineStr">
        <is>
          <t>Mix ragi flour with equal water, pinch of salt, cumin seeds &amp; chopped onion. Pour on medium hot tawa. Cook vegetables in minimum oil with mustard seeds, curry leaves &amp; grated fresh coconut.</t>
        </is>
      </c>
    </row>
    <row r="31" ht="36" customHeight="1">
      <c r="A31" s="10" t="inlineStr">
        <is>
          <t>2026-11-22</t>
        </is>
      </c>
      <c r="B31" s="10" t="n">
        <v>30</v>
      </c>
      <c r="C31" s="10" t="inlineStr">
        <is>
          <t>Sunday</t>
        </is>
      </c>
      <c r="D31" s="11" t="inlineStr">
        <is>
          <t>High-Fiber Soya Chunks &amp; Comfort Idli Sambar</t>
        </is>
      </c>
      <c r="E31" s="11" t="inlineStr">
        <is>
          <t>Steamed Idlis (3 pcs, 110g) + Vegetable Sambar (150ml) + 2 Boiled Eggs [340 kcal, 19g P, 38g C, 12g F, ₹35]</t>
        </is>
      </c>
      <c r="F31" s="11" t="inlineStr">
        <is>
          <t>Vegetable Poha (160g cooked) + 1 Boiled Egg [310 kcal, 12g P, 44g C, 9g F, ₹26]</t>
        </is>
      </c>
      <c r="G31" s="11" t="inlineStr">
        <is>
          <t>Rolled Oats cooked in toned milk (40g + 180ml milk) with 1/2 apple [290 kcal, 12g P, 45g C, 6g F, ₹30]</t>
        </is>
      </c>
      <c r="H31" s="11" t="inlineStr">
        <is>
          <t>Spiced Buttermilk / Majjige (220ml) with curry leaves &amp; ginger [45 kcal, 3g P, 4g C, 1.5g F, ₹15] | Alt: Fresh Papaya slices (150g) + 5 almonds [110 kcal, 3g P, 22g C, 3g F, ₹28]</t>
        </is>
      </c>
      <c r="I31" s="11" t="inlineStr">
        <is>
          <t>Sona Masoori Rice (150g cooked) + Soya Chunks Curry (45g dry soya chunks cooked in onion-tomato gravy) + French Beans Palya (130g) + Rasam [460 kcal, 31g P, 56g C, 9g F, ₹42]</t>
        </is>
      </c>
      <c r="J31" s="11" t="inlineStr">
        <is>
          <t>2 Phulkas (80g) + Chicken Curry (95g meat) + Cabbage Poriyal (120g) [440 kcal, 31g P, 44g C, 13g F, ₹65]</t>
        </is>
      </c>
      <c r="K31" s="11" t="inlineStr">
        <is>
          <t>Rice (150g) + Thick Toor Dal (180g) + 2 Boiled Eggs + Ridge Gourd Palya (120g) [455 kcal, 24g P, 52g C, 14g F, ₹40]</t>
        </is>
      </c>
      <c r="L31" s="11" t="inlineStr">
        <is>
          <t>Roasted Kadale / Chana (30g) + Hot Elaichi Tea (100ml milk) [140 kcal, 6g P, 20g C, 3.5g F, ₹18] | Alt: Roasted Makhana (30g) in ghee &amp; rock salt [130 kcal, 3g P, 21g C, 3.5g F, ₹25]</t>
        </is>
      </c>
      <c r="M31" s="11" t="inlineStr">
        <is>
          <t>2 Soft Phulkas (75g) + 2 Boiled Eggs in Mild Curry + Cucumber Carrot Salad (120g) [415 kcal, 21g P, 42g C, 15g F, ₹38]</t>
        </is>
      </c>
      <c r="N31" s="11" t="inlineStr">
        <is>
          <t>2 Phulkas (75g) + Paneer Bhurji (90g paneer, capsicum, tomato) + Warm Soup [445 kcal, 20g P, 44g C, 19g F, ₹58]</t>
        </is>
      </c>
      <c r="O31" s="11" t="inlineStr">
        <is>
          <t>2 Ragi Rotis (120g) + Chicken Curry (90g meat) + Cucumber Slices [425 kcal, 30g P, 46g C, 11g F, ₹68]</t>
        </is>
      </c>
      <c r="P31" s="11" t="inlineStr">
        <is>
          <t>Optional Pre: 1 small banana [70 kcal] • Post: 1 glass warm milk [90 kcal, 6g P]</t>
        </is>
      </c>
      <c r="Q31" s="12" t="n">
        <v>1400</v>
      </c>
      <c r="R31" s="12" t="n">
        <v>80</v>
      </c>
      <c r="S31" s="12" t="n">
        <v>160</v>
      </c>
      <c r="T31" s="12" t="n">
        <v>41</v>
      </c>
      <c r="U31" s="12" t="n">
        <v>151</v>
      </c>
      <c r="V31" s="11" t="inlineStr">
        <is>
          <t>Dip idlis in piping hot sambar. Eggs provide complete amino acid profile. Soak soya chunks in warm water for 15 mins. Squeeze out bitter water completely before cooking.</t>
        </is>
      </c>
    </row>
    <row r="32" ht="36" customHeight="1">
      <c r="A32" s="7" t="inlineStr">
        <is>
          <t>2026-11-23</t>
        </is>
      </c>
      <c r="B32" s="7" t="n">
        <v>31</v>
      </c>
      <c r="C32" s="7" t="inlineStr">
        <is>
          <t>Monday</t>
        </is>
      </c>
      <c r="D32" s="8" t="inlineStr">
        <is>
          <t>Comfort Steamed Staples &amp; Bengaluru Chicken Curry</t>
        </is>
      </c>
      <c r="E32" s="8" t="inlineStr">
        <is>
          <t>Steamed Idlis (3 pcs, 110g) + Veg Sambar (150ml) + 2 Boiled Eggs (100g) [340 kcal, 19g P, 38g C, 12g F, ₹35]</t>
        </is>
      </c>
      <c r="F32" s="8" t="inlineStr">
        <is>
          <t>Steamed Idlis (3 pcs) + Veg Sambar + 1 cup warm sprouted moong salad (100g) [310 kcal, 13g P, 46g C, 5g F, ₹25]</t>
        </is>
      </c>
      <c r="G32" s="8" t="inlineStr">
        <is>
          <t>Ragi Dosa (2 medium, 120g) + Mint Chutney (30g) + 1 Boiled Egg [320 kcal, 14g P, 42g C, 11g F, ₹28]</t>
        </is>
      </c>
      <c r="H32" s="8" t="inlineStr">
        <is>
          <t>Tender Coconut Water (220ml) + Handful Roasted Chana (25g) [130 kcal, 5g P, 22g C, 2g F, ₹40] | Alt: Fresh Papaya slices (150g) + 5 soaked almonds [110 kcal, 3g P, 22g C, 3g F, ₹30]</t>
        </is>
      </c>
      <c r="I32" s="8" t="inlineStr">
        <is>
          <t>Sona Masoori Rice (150g cooked / 55g raw) + Bengaluru Chicken Curry (130g raw / 95g cooked meat) + French Beans Palya (130g) + Pepper Rasam [475 kcal, 34g P, 48g C, 14g F, ₹75]</t>
        </is>
      </c>
      <c r="J32" s="8" t="inlineStr">
        <is>
          <t>2 Soft Wheat Phulkas (80g) + Homestyle Egg Curry (2 eggs in onion-tomato gravy) + Cabbage Poriyal (140g) [440 kcal, 21g P, 48g C, 16g F, ₹40]</t>
        </is>
      </c>
      <c r="K32" s="8" t="inlineStr">
        <is>
          <t>Sona Masoori Rice (150g) + Thick Toor Dal Tadka (180g) + Paneer Palya (80g paneer) + Fresh Curd (100g) [480 kcal, 23g P, 54g C, 18g F, ₹55]</t>
        </is>
      </c>
      <c r="L32" s="8" t="inlineStr">
        <is>
          <t>Spiced Boiled Sundal / Chickpeas (80g) with mustard tempering &amp; lemon [140 kcal, 7g P, 22g C, 3g F, ₹20] | Alt: Roasted Makhana (30g) in 1/2 tsp ghee &amp; rock salt [130 kcal, 3g P, 21g C, 3.5g F, ₹25]</t>
        </is>
      </c>
      <c r="M32" s="8" t="inlineStr">
        <is>
          <t>2 Soft Whole Wheat Phulkas (75g) + Grilled/Pan Chicken Curry (100g meat) + Cucumber Tomato Salad (120g) [420 kcal, 31g P, 42g C, 12g F, ₹65]</t>
        </is>
      </c>
      <c r="N32" s="8" t="inlineStr">
        <is>
          <t>2 Phulkas (75g) + Fresh Paneer Bhurji (90g paneer with capsicum &amp; onion) + Tomato Clear Soup [440 kcal, 20g P, 42g C, 20g F, ₹55]</t>
        </is>
      </c>
      <c r="O32" s="8" t="inlineStr">
        <is>
          <t>Warm Rice-Moong Dal Khichdi (220g) + Fresh Curd (100g) + Steamed Beetroot Poriyal (100g) [380 kcal, 14g P, 58g C, 8g F, ₹35]</t>
        </is>
      </c>
      <c r="P32" s="8" t="inlineStr">
        <is>
          <t>Optional Pre: 1 small banana (80g) [70 kcal] • Post: 1 glass warm toned milk with turmeric (180ml) [95 kcal, 6g P]</t>
        </is>
      </c>
      <c r="Q32" s="9" t="n">
        <v>1505</v>
      </c>
      <c r="R32" s="9" t="n">
        <v>96</v>
      </c>
      <c r="S32" s="9" t="n">
        <v>172</v>
      </c>
      <c r="T32" s="9" t="n">
        <v>43</v>
      </c>
      <c r="U32" s="9" t="n">
        <v>235</v>
      </c>
      <c r="V32" s="8" t="inlineStr">
        <is>
          <t>Steam idlis in idli cooker for 10-12 mins. Weigh 110g cooked on kitchen scale. Zero plate on scale, measure 150g warm rice, then add 95g cooked chicken meat without bones.</t>
        </is>
      </c>
    </row>
    <row r="33" ht="36" customHeight="1">
      <c r="A33" s="10" t="inlineStr">
        <is>
          <t>2026-11-24</t>
        </is>
      </c>
      <c r="B33" s="10" t="n">
        <v>32</v>
      </c>
      <c r="C33" s="10" t="inlineStr">
        <is>
          <t>Tuesday</t>
        </is>
      </c>
      <c r="D33" s="11" t="inlineStr">
        <is>
          <t>Iron-Rich Poha, Egg Curry &amp; Golden Turmeric Phulkas</t>
        </is>
      </c>
      <c r="E33" s="11" t="inlineStr">
        <is>
          <t>Vegetable Poha (160g cooked) tempered with mustard &amp; roasted peanuts (15g) + 1 Boiled Egg [330 kcal, 13g P, 44g C, 11g F, ₹28]</t>
        </is>
      </c>
      <c r="F33" s="11" t="inlineStr">
        <is>
          <t>Vegetable Poha (180g) + 1 glass warm toned milk (150ml) [310 kcal, 11g P, 48g C, 8g F, ₹24]</t>
        </is>
      </c>
      <c r="G33" s="11" t="inlineStr">
        <is>
          <t>Rolled Oats cooked in milk (40g oats + 180ml toned milk) with half diced apple [290 kcal, 12g P, 45g C, 6g F, ₹30]</t>
        </is>
      </c>
      <c r="H33" s="11" t="inlineStr">
        <is>
          <t>Spiced Majjige / Buttermilk (220ml) with grated ginger &amp; curry leaves [45 kcal, 3g P, 4g C, 1.5g F, ₹15] | Alt: 1 Crisp Guava or Apple (130g) with pinch of rock salt [75 kcal, 1.5g P, 18g C, 0.5g F, ₹20]</t>
        </is>
      </c>
      <c r="I33" s="11" t="inlineStr">
        <is>
          <t>2 Soft Phulkas (80g) + 2 Boiled Eggs in Onion-Tomato Gravy (120g gravy) + Ridge Gourd (Heerekayi) Palya (140g) [450 kcal, 22g P, 48g C, 17g F, ₹45]</t>
        </is>
      </c>
      <c r="J33" s="11" t="inlineStr">
        <is>
          <t>Sona Masoori Rice (150g) + Fish Curry (120g rohu/pomfret in light coconut gravy) + Beans Poriyal (120g) [460 kcal, 32g P, 46g C, 13g F, ₹80]</t>
        </is>
      </c>
      <c r="K33" s="11" t="inlineStr">
        <is>
          <t>Cooked Rice (150g) + Mixed Vegetable Sambar (180g) + Pan-seared Tofu or Paneer (80g) + Cucumber Slices [465 kcal, 21g P, 52g C, 17g F, ₹55]</t>
        </is>
      </c>
      <c r="L33" s="11" t="inlineStr">
        <is>
          <t>Boiled Sweet Corn (120g) with lemon squeeze &amp; chaat masala [120 kcal, 4g P, 24g C, 1.5g F, ₹20] | Alt: Roasted Kadale / Chana (30g) + Warm Elaichi Green Tea [125 kcal, 6g P, 18g C, 2.5g F, ₹15]</t>
        </is>
      </c>
      <c r="M33" s="11" t="inlineStr">
        <is>
          <t>2 Soft Phulkas (75g) + Fresh Paneer Bhurji (90g paneer, capsicum, tomato) + Warm Tomato Rasam (150ml) [445 kcal, 21g P, 44g C, 19g F, ₹60]</t>
        </is>
      </c>
      <c r="N33" s="11" t="inlineStr">
        <is>
          <t>2 Ragi Rotis (130g) + Chicken Curry (90g cooked meat) + Onion Cucumber Raita (80g) [430 kcal, 30g P, 46g C, 11g F, ₹70]</t>
        </is>
      </c>
      <c r="O33" s="11" t="inlineStr">
        <is>
          <t>Moong Dal Vegetable Dalia Khichdi (220g) + Fresh Curd (100g) [390 kcal, 16g P, 54g C, 9g F, ₹35]</t>
        </is>
      </c>
      <c r="P33" s="11" t="inlineStr">
        <is>
          <t>Optional Pre: 2 Medjool dates [80 kcal] • Post: 1 boiled egg white or 100g warm milk [55 kcal, 4g P]</t>
        </is>
      </c>
      <c r="Q33" s="12" t="n">
        <v>1390</v>
      </c>
      <c r="R33" s="12" t="n">
        <v>63</v>
      </c>
      <c r="S33" s="12" t="n">
        <v>164</v>
      </c>
      <c r="T33" s="12" t="n">
        <v>50</v>
      </c>
      <c r="U33" s="12" t="n">
        <v>168</v>
      </c>
      <c r="V33" s="11" t="inlineStr">
        <is>
          <t>Rinse thick poha in colander, drain well. Sauté with onion, curry leaves, carrots &amp; roasted peanuts. Prick boiled eggs gently before simmering in gravy to absorb rich flavours.</t>
        </is>
      </c>
    </row>
    <row r="34" ht="36" customHeight="1">
      <c r="A34" s="7" t="inlineStr">
        <is>
          <t>2026-11-25</t>
        </is>
      </c>
      <c r="B34" s="7" t="n">
        <v>33</v>
      </c>
      <c r="C34" s="7" t="inlineStr">
        <is>
          <t>Wednesday</t>
        </is>
      </c>
      <c r="D34" s="8" t="inlineStr">
        <is>
          <t>Bengaluru Rava Upma &amp; Fresh Coastal Home Curry</t>
        </is>
      </c>
      <c r="E34" s="8" t="inlineStr">
        <is>
          <t>Bengaluru Vegetable Rava Upma (180g cooked) with roasted peanuts + 1 Boiled Egg [340 kcal, 14g P, 44g C, 12g F, ₹26]</t>
        </is>
      </c>
      <c r="F34" s="8" t="inlineStr">
        <is>
          <t>Vegetable Upma (180g) + 1 glass warm toned milk (150ml) [320 kcal, 11g P, 48g C, 9g F, ₹24]</t>
        </is>
      </c>
      <c r="G34" s="8" t="inlineStr">
        <is>
          <t>Steamed Idlis (3 pcs) with Mint Toor Dal Chutney (40g) + 1 Boiled Egg [320 kcal, 15g P, 42g C, 9g F, ₹28]</t>
        </is>
      </c>
      <c r="H34" s="8" t="inlineStr">
        <is>
          <t>Fresh Fruit Bowl (150g watermelon or papaya) + 6 soaked almonds [110 kcal, 3g P, 22g C, 3g F, ₹30] | Alt: Tender Coconut Water (220ml) [45 kcal, 1g P, 10g C, 0g F, ₹35]</t>
        </is>
      </c>
      <c r="I34" s="8" t="inlineStr">
        <is>
          <t>Sona Masoori Rice (150g cooked) + Bengaluru Fish Curry (120g fresh fish in light gravy) + Cabbage &amp; Pea Poriyal (130g) + Rasam [450 kcal, 33g P, 46g C, 13g F, ₹80]</t>
        </is>
      </c>
      <c r="J34" s="8" t="inlineStr">
        <is>
          <t>2 Phulkas (80g) + Chicken Curry (95g cooked meat) + Cucumber Carrot Salad (100g) [440 kcal, 31g P, 44g C, 13g F, ₹65]</t>
        </is>
      </c>
      <c r="K34" s="8" t="inlineStr">
        <is>
          <t>Rice (150g) + Thick Chana Dal (180g) + Beans Palya (130g) + Fresh Curd (100g) [470 kcal, 22g P, 56g C, 15g F, ₹45]</t>
        </is>
      </c>
      <c r="L34" s="8" t="inlineStr">
        <is>
          <t>Roasted Puri Kadale / Chana (30g) + Warm Ginger Tea (100ml low-fat milk) [140 kcal, 6g P, 20g C, 3.5g F, ₹18] | Alt: Spiced Boiled Moong Sprouts (80g) with lime &amp; salt [110 kcal, 7g P, 18g C, 1g F, ₹15]</t>
        </is>
      </c>
      <c r="M34" s="8" t="inlineStr">
        <is>
          <t>2 Soft Phulkas (75g) + Soya Chunks &amp; Green Pea Curry (45g dry soya + 50g peas) + Fresh Curd (80g) [420 kcal, 29g P, 48g C, 9g F, ₹40]</t>
        </is>
      </c>
      <c r="N34" s="8" t="inlineStr">
        <is>
          <t>2 Phulkas (75g) + 2 Boiled Eggs in Homestyle Curry (100g) + Sliced Cucumber [410 kcal, 21g P, 42g C, 15g F, ₹38]</t>
        </is>
      </c>
      <c r="O34" s="8" t="inlineStr">
        <is>
          <t>2 Ragi Rotis (120g) + Mixed Vegetable Sambar (180ml) + Sautéed Palak (100g) [380 kcal, 14g P, 54g C, 8g F, ₹30]</t>
        </is>
      </c>
      <c r="P34" s="8" t="inlineStr">
        <is>
          <t>Optional Pre: 1 cup tender coconut water [45 kcal] • Post: 1 glass warm milk (150ml) [85 kcal, 5g P]</t>
        </is>
      </c>
      <c r="Q34" s="9" t="n">
        <v>1460</v>
      </c>
      <c r="R34" s="9" t="n">
        <v>85</v>
      </c>
      <c r="S34" s="9" t="n">
        <v>180</v>
      </c>
      <c r="T34" s="9" t="n">
        <v>40.5</v>
      </c>
      <c r="U34" s="9" t="n">
        <v>194</v>
      </c>
      <c r="V34" s="8" t="inlineStr">
        <is>
          <t>Dry roast semolina lightly. Tempered with mustard seeds, chana dal, green chillies &amp; mixed veggies. Use fresh local fish cuts (rohu, pomfret, or seer fish). Simmer gently for 8 mins.</t>
        </is>
      </c>
    </row>
    <row r="35" ht="36" customHeight="1">
      <c r="A35" s="10" t="inlineStr">
        <is>
          <t>2026-11-26</t>
        </is>
      </c>
      <c r="B35" s="10" t="n">
        <v>34</v>
      </c>
      <c r="C35" s="10" t="inlineStr">
        <is>
          <t>Thursday</t>
        </is>
      </c>
      <c r="D35" s="11" t="inlineStr">
        <is>
          <t>Nourishing Rolled Oats &amp; Tender Chicken Palya</t>
        </is>
      </c>
      <c r="E35" s="11" t="inlineStr">
        <is>
          <t>Warm Rolled Oats (40g dry + 180ml toned milk) + 1 Boiled Egg + Apple slices (50g) [345 kcal, 18g P, 46g C, 10g F, ₹35]</t>
        </is>
      </c>
      <c r="F35" s="11" t="inlineStr">
        <is>
          <t>Vegetable Poha (160g cooked) + 2 Boiled Eggs [360 kcal, 18g P, 42g C, 14g F, ₹32]</t>
        </is>
      </c>
      <c r="G35" s="11" t="inlineStr">
        <is>
          <t>2 Plain Dosas (120g) + Toor Dal Sambar (150ml) + 1 cup warm sprouted moong [330 kcal, 14g P, 48g C, 7g F, ₹25]</t>
        </is>
      </c>
      <c r="H35" s="11" t="inlineStr">
        <is>
          <t>Tender Coconut Water (220ml) + 5 Soaked Almonds [95 kcal, 3g P, 12g C, 4g F, ₹40] | Alt: Fresh Spiced Buttermilk (220ml) with coriander &amp; rock salt [45 kcal, 3g P, 4g C, 1.5g F, ₹15]</t>
        </is>
      </c>
      <c r="I35" s="11" t="inlineStr">
        <is>
          <t>Sona Masoori Rice (150g cooked) + Tender Chicken Curry (130g raw / 95g meat) + Palak (Spinach) Palya (140g) + Rasam [470 kcal, 35g P, 46g C, 13g F, ₹75]</t>
        </is>
      </c>
      <c r="J35" s="11" t="inlineStr">
        <is>
          <t>2 Soft Phulkas (80g) + Fresh Paneer Curry (85g paneer in light gravy) + French Beans Palya (120g) [450 kcal, 21g P, 44g C, 19g F, ₹55]</t>
        </is>
      </c>
      <c r="K35" s="11" t="inlineStr">
        <is>
          <t>Rice (150g) + Toor Dal Tadka (180g) + 2 Boiled Eggs + Beetroot Poriyal (120g) [460 kcal, 25g P, 52g C, 14g F, ₹42]</t>
        </is>
      </c>
      <c r="L35" s="11" t="inlineStr">
        <is>
          <t>Roasted Makhana (30g) + Hot Green Tea with lemon [130 kcal, 3g P, 21g C, 3.5g F, ₹25] | Alt: Boiled Chickpeas Sundal (70g) with mustard &amp; curry leaves [125 kcal, 6g P, 20g C, 2.5g F, ₹18]</t>
        </is>
      </c>
      <c r="M35" s="11" t="inlineStr">
        <is>
          <t>2 Soft Phulkas (75g) + 2 Boiled Eggs in Tomato Onion Curry + Cucumber Salad (100g) [415 kcal, 21g P, 42g C, 15g F, ₹38]</t>
        </is>
      </c>
      <c r="N35" s="11" t="inlineStr">
        <is>
          <t>2 Phulkas (75g) + Grilled Chicken Strips (100g cooked) + Mixed Sautéed Capsicum &amp; Onions [425 kcal, 32g P, 40g C, 11g F, ₹65]</t>
        </is>
      </c>
      <c r="O35" s="11" t="inlineStr">
        <is>
          <t>Warm Moong Dal Vegetable Khichdi (220g) + Fresh Curd (100g) [380 kcal, 15g P, 56g C, 8g F, ₹35]</t>
        </is>
      </c>
      <c r="P35" s="11" t="inlineStr">
        <is>
          <t>Optional Pre: 1 small banana [70 kcal] • Post: 1 cup warm turmeric milk [90 kcal, 6g P]</t>
        </is>
      </c>
      <c r="Q35" s="12" t="n">
        <v>1455</v>
      </c>
      <c r="R35" s="12" t="n">
        <v>80</v>
      </c>
      <c r="S35" s="12" t="n">
        <v>167</v>
      </c>
      <c r="T35" s="12" t="n">
        <v>45.5</v>
      </c>
      <c r="U35" s="12" t="n">
        <v>213</v>
      </c>
      <c r="V35" s="11" t="inlineStr">
        <is>
          <t>Cook oats in milk for 4 mins on medium flame. Stir in pinch of cinnamon powder. Weigh raw boneless chicken (130g). Steam spinach lightly with mustard tempering.</t>
        </is>
      </c>
    </row>
    <row r="36" ht="36" customHeight="1">
      <c r="A36" s="7" t="inlineStr">
        <is>
          <t>2026-11-27</t>
        </is>
      </c>
      <c r="B36" s="7" t="n">
        <v>35</v>
      </c>
      <c r="C36" s="7" t="inlineStr">
        <is>
          <t>Friday</t>
        </is>
      </c>
      <c r="D36" s="8" t="inlineStr">
        <is>
          <t>Calcium-Rich Ragi Dosa &amp; Fresh Country Egg Feast</t>
        </is>
      </c>
      <c r="E36" s="8" t="inlineStr">
        <is>
          <t>Ragi Dosa (2 medium, 120g) + Coconut Mint Chutney (30g) + 2 Boiled Eggs [350 kcal, 19g P, 40g C, 13g F, ₹35]</t>
        </is>
      </c>
      <c r="F36" s="8" t="inlineStr">
        <is>
          <t>Steamed Idlis (3 pcs, 110g) + Vegetable Sambar (150ml) + 1 Boiled Egg [310 kcal, 13g P, 44g C, 8g F, ₹25]</t>
        </is>
      </c>
      <c r="G36" s="8" t="inlineStr">
        <is>
          <t>Vegetable Upma (180g) + Warm Toned Milk (150ml) [320 kcal, 11g P, 48g C, 9g F, ₹22]</t>
        </is>
      </c>
      <c r="H36" s="8" t="inlineStr">
        <is>
          <t>Fresh Seasonal Fruit (1 Medium Apple or 150g Papaya) + 6 Almonds [115 kcal, 3g P, 22g C, 3.5g F, ₹30] | Alt: Tender Coconut Water (220ml) [45 kcal, 1g P, 10g C, 0g F, ₹35]</t>
        </is>
      </c>
      <c r="I36" s="8" t="inlineStr">
        <is>
          <t>2 Soft Phulkas (80g) + Homestyle Egg Curry (2 eggs) + Cabbage &amp; Carrot Poriyal (140g) + Rasam [445 kcal, 22g P, 48g C, 16g F, ₹42]</t>
        </is>
      </c>
      <c r="J36" s="8" t="inlineStr">
        <is>
          <t>Sona Masoori Rice (150g) + Bengaluru Chicken Curry (95g meat) + Beans Palya (120g) [475 kcal, 34g P, 48g C, 14g F, ₹75]</t>
        </is>
      </c>
      <c r="K36" s="8" t="inlineStr">
        <is>
          <t>Rice (150g) + Thick Toor Dal Tadka (180g) + Fresh Curd (100g) + Tomato Cucumber Salad [440 kcal, 18g P, 56g C, 14g F, ₹40]</t>
        </is>
      </c>
      <c r="L36" s="8" t="inlineStr">
        <is>
          <t>Spiced Boiled Sundal / Chickpeas (80g) with lime [140 kcal, 7g P, 22g C, 3g F, ₹20] | Alt: Roasted Makhana (30g) in 1/2 tsp ghee &amp; rock salt [130 kcal, 3g P, 21g C, 3.5g F, ₹25]</t>
        </is>
      </c>
      <c r="M36" s="8" t="inlineStr">
        <is>
          <t>2 Soft Phulkas (75g) + Home Chicken Curry (100g meat) + Cucumber Salad (100g) [420 kcal, 31g P, 42g C, 12g F, ₹65]</t>
        </is>
      </c>
      <c r="N36" s="8" t="inlineStr">
        <is>
          <t>2 Phulkas (75g) + Fresh Paneer Bhurji (90g paneer, capsicum, onion) + Clear Soup [440 kcal, 20g P, 42g C, 20g F, ₹55]</t>
        </is>
      </c>
      <c r="O36" s="8" t="inlineStr">
        <is>
          <t>Rice-Moong Dal Khichdi (220g) + Curd (100g) + Lauki Sabzi (120g) [385 kcal, 14g P, 58g C, 8.5g F, ₹35]</t>
        </is>
      </c>
      <c r="P36" s="8" t="inlineStr">
        <is>
          <t>Optional Pre: 1 cup tender coconut water [45 kcal] • Post: 1 glass warm milk (150ml) [85 kcal, 5g P]</t>
        </is>
      </c>
      <c r="Q36" s="9" t="n">
        <v>1470</v>
      </c>
      <c r="R36" s="9" t="n">
        <v>82</v>
      </c>
      <c r="S36" s="9" t="n">
        <v>174</v>
      </c>
      <c r="T36" s="9" t="n">
        <v>47.5</v>
      </c>
      <c r="U36" s="9" t="n">
        <v>192</v>
      </c>
      <c r="V36" s="8" t="inlineStr">
        <is>
          <t>Mix ragi flour with equal water, pinch of salt, cumin seeds &amp; chopped onion. Pour on medium hot tawa. Cook vegetables in minimum oil with mustard seeds, curry leaves &amp; grated fresh coconut.</t>
        </is>
      </c>
    </row>
    <row r="37" ht="36" customHeight="1">
      <c r="A37" s="10" t="inlineStr">
        <is>
          <t>2026-11-28</t>
        </is>
      </c>
      <c r="B37" s="10" t="n">
        <v>36</v>
      </c>
      <c r="C37" s="10" t="inlineStr">
        <is>
          <t>Saturday</t>
        </is>
      </c>
      <c r="D37" s="11" t="inlineStr">
        <is>
          <t>High-Fiber Soya Chunks &amp; Comfort Idli Sambar</t>
        </is>
      </c>
      <c r="E37" s="11" t="inlineStr">
        <is>
          <t>Steamed Idlis (3 pcs, 110g) + Vegetable Sambar (150ml) + 2 Boiled Eggs [340 kcal, 19g P, 38g C, 12g F, ₹35]</t>
        </is>
      </c>
      <c r="F37" s="11" t="inlineStr">
        <is>
          <t>Vegetable Poha (160g cooked) + 1 Boiled Egg [310 kcal, 12g P, 44g C, 9g F, ₹26]</t>
        </is>
      </c>
      <c r="G37" s="11" t="inlineStr">
        <is>
          <t>Rolled Oats cooked in toned milk (40g + 180ml milk) with 1/2 apple [290 kcal, 12g P, 45g C, 6g F, ₹30]</t>
        </is>
      </c>
      <c r="H37" s="11" t="inlineStr">
        <is>
          <t>Spiced Buttermilk / Majjige (220ml) with curry leaves &amp; ginger [45 kcal, 3g P, 4g C, 1.5g F, ₹15] | Alt: Fresh Papaya slices (150g) + 5 almonds [110 kcal, 3g P, 22g C, 3g F, ₹28]</t>
        </is>
      </c>
      <c r="I37" s="11" t="inlineStr">
        <is>
          <t>Sona Masoori Rice (150g cooked) + Soya Chunks Curry (45g dry soya chunks cooked in onion-tomato gravy) + French Beans Palya (130g) + Rasam [460 kcal, 31g P, 56g C, 9g F, ₹42]</t>
        </is>
      </c>
      <c r="J37" s="11" t="inlineStr">
        <is>
          <t>2 Phulkas (80g) + Chicken Curry (95g meat) + Cabbage Poriyal (120g) [440 kcal, 31g P, 44g C, 13g F, ₹65]</t>
        </is>
      </c>
      <c r="K37" s="11" t="inlineStr">
        <is>
          <t>Rice (150g) + Thick Toor Dal (180g) + 2 Boiled Eggs + Ridge Gourd Palya (120g) [455 kcal, 24g P, 52g C, 14g F, ₹40]</t>
        </is>
      </c>
      <c r="L37" s="11" t="inlineStr">
        <is>
          <t>Roasted Kadale / Chana (30g) + Hot Elaichi Tea (100ml milk) [140 kcal, 6g P, 20g C, 3.5g F, ₹18] | Alt: Roasted Makhana (30g) in ghee &amp; rock salt [130 kcal, 3g P, 21g C, 3.5g F, ₹25]</t>
        </is>
      </c>
      <c r="M37" s="11" t="inlineStr">
        <is>
          <t>2 Soft Phulkas (75g) + 2 Boiled Eggs in Mild Curry + Cucumber Carrot Salad (120g) [415 kcal, 21g P, 42g C, 15g F, ₹38]</t>
        </is>
      </c>
      <c r="N37" s="11" t="inlineStr">
        <is>
          <t>2 Phulkas (75g) + Paneer Bhurji (90g paneer, capsicum, tomato) + Warm Soup [445 kcal, 20g P, 44g C, 19g F, ₹58]</t>
        </is>
      </c>
      <c r="O37" s="11" t="inlineStr">
        <is>
          <t>2 Ragi Rotis (120g) + Chicken Curry (90g meat) + Cucumber Slices [425 kcal, 30g P, 46g C, 11g F, ₹68]</t>
        </is>
      </c>
      <c r="P37" s="11" t="inlineStr">
        <is>
          <t>Optional Pre: 1 small banana [70 kcal] • Post: 1 glass warm milk [90 kcal, 6g P]</t>
        </is>
      </c>
      <c r="Q37" s="12" t="n">
        <v>1400</v>
      </c>
      <c r="R37" s="12" t="n">
        <v>80</v>
      </c>
      <c r="S37" s="12" t="n">
        <v>160</v>
      </c>
      <c r="T37" s="12" t="n">
        <v>41</v>
      </c>
      <c r="U37" s="12" t="n">
        <v>151</v>
      </c>
      <c r="V37" s="11" t="inlineStr">
        <is>
          <t>Dip idlis in piping hot sambar. Eggs provide complete amino acid profile. Soak soya chunks in warm water for 15 mins. Squeeze out bitter water completely before cooking.</t>
        </is>
      </c>
    </row>
    <row r="38" ht="36" customHeight="1">
      <c r="A38" s="7" t="inlineStr">
        <is>
          <t>2026-11-29</t>
        </is>
      </c>
      <c r="B38" s="7" t="n">
        <v>37</v>
      </c>
      <c r="C38" s="7" t="inlineStr">
        <is>
          <t>Sunday</t>
        </is>
      </c>
      <c r="D38" s="8" t="inlineStr">
        <is>
          <t>Comfort Steamed Staples &amp; Bengaluru Chicken Curry</t>
        </is>
      </c>
      <c r="E38" s="8" t="inlineStr">
        <is>
          <t>Steamed Idlis (3 pcs, 110g) + Veg Sambar (150ml) + 2 Boiled Eggs (100g) [340 kcal, 19g P, 38g C, 12g F, ₹35]</t>
        </is>
      </c>
      <c r="F38" s="8" t="inlineStr">
        <is>
          <t>Steamed Idlis (3 pcs) + Veg Sambar + 1 cup warm sprouted moong salad (100g) [310 kcal, 13g P, 46g C, 5g F, ₹25]</t>
        </is>
      </c>
      <c r="G38" s="8" t="inlineStr">
        <is>
          <t>Ragi Dosa (2 medium, 120g) + Mint Chutney (30g) + 1 Boiled Egg [320 kcal, 14g P, 42g C, 11g F, ₹28]</t>
        </is>
      </c>
      <c r="H38" s="8" t="inlineStr">
        <is>
          <t>Tender Coconut Water (220ml) + Handful Roasted Chana (25g) [130 kcal, 5g P, 22g C, 2g F, ₹40] | Alt: Fresh Papaya slices (150g) + 5 soaked almonds [110 kcal, 3g P, 22g C, 3g F, ₹30]</t>
        </is>
      </c>
      <c r="I38" s="8" t="inlineStr">
        <is>
          <t>Sona Masoori Rice (150g cooked / 55g raw) + Bengaluru Chicken Curry (130g raw / 95g cooked meat) + French Beans Palya (130g) + Pepper Rasam [475 kcal, 34g P, 48g C, 14g F, ₹75]</t>
        </is>
      </c>
      <c r="J38" s="8" t="inlineStr">
        <is>
          <t>2 Soft Wheat Phulkas (80g) + Homestyle Egg Curry (2 eggs in onion-tomato gravy) + Cabbage Poriyal (140g) [440 kcal, 21g P, 48g C, 16g F, ₹40]</t>
        </is>
      </c>
      <c r="K38" s="8" t="inlineStr">
        <is>
          <t>Sona Masoori Rice (150g) + Thick Toor Dal Tadka (180g) + Paneer Palya (80g paneer) + Fresh Curd (100g) [480 kcal, 23g P, 54g C, 18g F, ₹55]</t>
        </is>
      </c>
      <c r="L38" s="8" t="inlineStr">
        <is>
          <t>Spiced Boiled Sundal / Chickpeas (80g) with mustard tempering &amp; lemon [140 kcal, 7g P, 22g C, 3g F, ₹20] | Alt: Roasted Makhana (30g) in 1/2 tsp ghee &amp; rock salt [130 kcal, 3g P, 21g C, 3.5g F, ₹25]</t>
        </is>
      </c>
      <c r="M38" s="8" t="inlineStr">
        <is>
          <t>2 Soft Whole Wheat Phulkas (75g) + Grilled/Pan Chicken Curry (100g meat) + Cucumber Tomato Salad (120g) [420 kcal, 31g P, 42g C, 12g F, ₹65]</t>
        </is>
      </c>
      <c r="N38" s="8" t="inlineStr">
        <is>
          <t>2 Phulkas (75g) + Fresh Paneer Bhurji (90g paneer with capsicum &amp; onion) + Tomato Clear Soup [440 kcal, 20g P, 42g C, 20g F, ₹55]</t>
        </is>
      </c>
      <c r="O38" s="8" t="inlineStr">
        <is>
          <t>Warm Rice-Moong Dal Khichdi (220g) + Fresh Curd (100g) + Steamed Beetroot Poriyal (100g) [380 kcal, 14g P, 58g C, 8g F, ₹35]</t>
        </is>
      </c>
      <c r="P38" s="8" t="inlineStr">
        <is>
          <t>Optional Pre: 1 small banana (80g) [70 kcal] • Post: 1 glass warm toned milk with turmeric (180ml) [95 kcal, 6g P]</t>
        </is>
      </c>
      <c r="Q38" s="9" t="n">
        <v>1505</v>
      </c>
      <c r="R38" s="9" t="n">
        <v>96</v>
      </c>
      <c r="S38" s="9" t="n">
        <v>172</v>
      </c>
      <c r="T38" s="9" t="n">
        <v>43</v>
      </c>
      <c r="U38" s="9" t="n">
        <v>235</v>
      </c>
      <c r="V38" s="8" t="inlineStr">
        <is>
          <t>Steam idlis in idli cooker for 10-12 mins. Weigh 110g cooked on kitchen scale. Zero plate on scale, measure 150g warm rice, then add 95g cooked chicken meat without bones.</t>
        </is>
      </c>
    </row>
    <row r="39" ht="36" customHeight="1">
      <c r="A39" s="10" t="inlineStr">
        <is>
          <t>2026-11-30</t>
        </is>
      </c>
      <c r="B39" s="10" t="n">
        <v>38</v>
      </c>
      <c r="C39" s="10" t="inlineStr">
        <is>
          <t>Monday</t>
        </is>
      </c>
      <c r="D39" s="11" t="inlineStr">
        <is>
          <t>Iron-Rich Poha, Egg Curry &amp; Golden Turmeric Phulkas</t>
        </is>
      </c>
      <c r="E39" s="11" t="inlineStr">
        <is>
          <t>Vegetable Poha (160g cooked) tempered with mustard &amp; roasted peanuts (15g) + 1 Boiled Egg [330 kcal, 13g P, 44g C, 11g F, ₹28]</t>
        </is>
      </c>
      <c r="F39" s="11" t="inlineStr">
        <is>
          <t>Vegetable Poha (180g) + 1 glass warm toned milk (150ml) [310 kcal, 11g P, 48g C, 8g F, ₹24]</t>
        </is>
      </c>
      <c r="G39" s="11" t="inlineStr">
        <is>
          <t>Rolled Oats cooked in milk (40g oats + 180ml toned milk) with half diced apple [290 kcal, 12g P, 45g C, 6g F, ₹30]</t>
        </is>
      </c>
      <c r="H39" s="11" t="inlineStr">
        <is>
          <t>Spiced Majjige / Buttermilk (220ml) with grated ginger &amp; curry leaves [45 kcal, 3g P, 4g C, 1.5g F, ₹15] | Alt: 1 Crisp Guava or Apple (130g) with pinch of rock salt [75 kcal, 1.5g P, 18g C, 0.5g F, ₹20]</t>
        </is>
      </c>
      <c r="I39" s="11" t="inlineStr">
        <is>
          <t>2 Soft Phulkas (80g) + 2 Boiled Eggs in Onion-Tomato Gravy (120g gravy) + Ridge Gourd (Heerekayi) Palya (140g) [450 kcal, 22g P, 48g C, 17g F, ₹45]</t>
        </is>
      </c>
      <c r="J39" s="11" t="inlineStr">
        <is>
          <t>Sona Masoori Rice (150g) + Fish Curry (120g rohu/pomfret in light coconut gravy) + Beans Poriyal (120g) [460 kcal, 32g P, 46g C, 13g F, ₹80]</t>
        </is>
      </c>
      <c r="K39" s="11" t="inlineStr">
        <is>
          <t>Cooked Rice (150g) + Mixed Vegetable Sambar (180g) + Pan-seared Tofu or Paneer (80g) + Cucumber Slices [465 kcal, 21g P, 52g C, 17g F, ₹55]</t>
        </is>
      </c>
      <c r="L39" s="11" t="inlineStr">
        <is>
          <t>Boiled Sweet Corn (120g) with lemon squeeze &amp; chaat masala [120 kcal, 4g P, 24g C, 1.5g F, ₹20] | Alt: Roasted Kadale / Chana (30g) + Warm Elaichi Green Tea [125 kcal, 6g P, 18g C, 2.5g F, ₹15]</t>
        </is>
      </c>
      <c r="M39" s="11" t="inlineStr">
        <is>
          <t>2 Soft Phulkas (75g) + Fresh Paneer Bhurji (90g paneer, capsicum, tomato) + Warm Tomato Rasam (150ml) [445 kcal, 21g P, 44g C, 19g F, ₹60]</t>
        </is>
      </c>
      <c r="N39" s="11" t="inlineStr">
        <is>
          <t>2 Ragi Rotis (130g) + Chicken Curry (90g cooked meat) + Onion Cucumber Raita (80g) [430 kcal, 30g P, 46g C, 11g F, ₹70]</t>
        </is>
      </c>
      <c r="O39" s="11" t="inlineStr">
        <is>
          <t>Moong Dal Vegetable Dalia Khichdi (220g) + Fresh Curd (100g) [390 kcal, 16g P, 54g C, 9g F, ₹35]</t>
        </is>
      </c>
      <c r="P39" s="11" t="inlineStr">
        <is>
          <t>Optional Pre: 2 Medjool dates [80 kcal] • Post: 1 boiled egg white or 100g warm milk [55 kcal, 4g P]</t>
        </is>
      </c>
      <c r="Q39" s="12" t="n">
        <v>1390</v>
      </c>
      <c r="R39" s="12" t="n">
        <v>63</v>
      </c>
      <c r="S39" s="12" t="n">
        <v>164</v>
      </c>
      <c r="T39" s="12" t="n">
        <v>50</v>
      </c>
      <c r="U39" s="12" t="n">
        <v>168</v>
      </c>
      <c r="V39" s="11" t="inlineStr">
        <is>
          <t>Rinse thick poha in colander, drain well. Sauté with onion, curry leaves, carrots &amp; roasted peanuts. Prick boiled eggs gently before simmering in gravy to absorb rich flavours.</t>
        </is>
      </c>
    </row>
    <row r="40" ht="36" customHeight="1">
      <c r="A40" s="7" t="inlineStr">
        <is>
          <t>2026-12-01</t>
        </is>
      </c>
      <c r="B40" s="7" t="n">
        <v>39</v>
      </c>
      <c r="C40" s="7" t="inlineStr">
        <is>
          <t>Tuesday</t>
        </is>
      </c>
      <c r="D40" s="8" t="inlineStr">
        <is>
          <t>Bengaluru Rava Upma &amp; Fresh Coastal Home Curry</t>
        </is>
      </c>
      <c r="E40" s="8" t="inlineStr">
        <is>
          <t>Bengaluru Vegetable Rava Upma (180g cooked) with roasted peanuts + 1 Boiled Egg [340 kcal, 14g P, 44g C, 12g F, ₹26]</t>
        </is>
      </c>
      <c r="F40" s="8" t="inlineStr">
        <is>
          <t>Vegetable Upma (180g) + 1 glass warm toned milk (150ml) [320 kcal, 11g P, 48g C, 9g F, ₹24]</t>
        </is>
      </c>
      <c r="G40" s="8" t="inlineStr">
        <is>
          <t>Steamed Idlis (3 pcs) with Mint Toor Dal Chutney (40g) + 1 Boiled Egg [320 kcal, 15g P, 42g C, 9g F, ₹28]</t>
        </is>
      </c>
      <c r="H40" s="8" t="inlineStr">
        <is>
          <t>Fresh Fruit Bowl (150g watermelon or papaya) + 6 soaked almonds [110 kcal, 3g P, 22g C, 3g F, ₹30] | Alt: Tender Coconut Water (220ml) [45 kcal, 1g P, 10g C, 0g F, ₹35]</t>
        </is>
      </c>
      <c r="I40" s="8" t="inlineStr">
        <is>
          <t>Sona Masoori Rice (150g cooked) + Bengaluru Fish Curry (120g fresh fish in light gravy) + Cabbage &amp; Pea Poriyal (130g) + Rasam [450 kcal, 33g P, 46g C, 13g F, ₹80]</t>
        </is>
      </c>
      <c r="J40" s="8" t="inlineStr">
        <is>
          <t>2 Phulkas (80g) + Chicken Curry (95g cooked meat) + Cucumber Carrot Salad (100g) [440 kcal, 31g P, 44g C, 13g F, ₹65]</t>
        </is>
      </c>
      <c r="K40" s="8" t="inlineStr">
        <is>
          <t>Rice (150g) + Thick Chana Dal (180g) + Beans Palya (130g) + Fresh Curd (100g) [470 kcal, 22g P, 56g C, 15g F, ₹45]</t>
        </is>
      </c>
      <c r="L40" s="8" t="inlineStr">
        <is>
          <t>Roasted Puri Kadale / Chana (30g) + Warm Ginger Tea (100ml low-fat milk) [140 kcal, 6g P, 20g C, 3.5g F, ₹18] | Alt: Spiced Boiled Moong Sprouts (80g) with lime &amp; salt [110 kcal, 7g P, 18g C, 1g F, ₹15]</t>
        </is>
      </c>
      <c r="M40" s="8" t="inlineStr">
        <is>
          <t>2 Soft Phulkas (75g) + Soya Chunks &amp; Green Pea Curry (45g dry soya + 50g peas) + Fresh Curd (80g) [420 kcal, 29g P, 48g C, 9g F, ₹40]</t>
        </is>
      </c>
      <c r="N40" s="8" t="inlineStr">
        <is>
          <t>2 Phulkas (75g) + 2 Boiled Eggs in Homestyle Curry (100g) + Sliced Cucumber [410 kcal, 21g P, 42g C, 15g F, ₹38]</t>
        </is>
      </c>
      <c r="O40" s="8" t="inlineStr">
        <is>
          <t>2 Ragi Rotis (120g) + Mixed Vegetable Sambar (180ml) + Sautéed Palak (100g) [380 kcal, 14g P, 54g C, 8g F, ₹30]</t>
        </is>
      </c>
      <c r="P40" s="8" t="inlineStr">
        <is>
          <t>Optional Pre: 1 cup tender coconut water [45 kcal] • Post: 1 glass warm milk (150ml) [85 kcal, 5g P]</t>
        </is>
      </c>
      <c r="Q40" s="9" t="n">
        <v>1460</v>
      </c>
      <c r="R40" s="9" t="n">
        <v>85</v>
      </c>
      <c r="S40" s="9" t="n">
        <v>180</v>
      </c>
      <c r="T40" s="9" t="n">
        <v>40.5</v>
      </c>
      <c r="U40" s="9" t="n">
        <v>194</v>
      </c>
      <c r="V40" s="8" t="inlineStr">
        <is>
          <t>Dry roast semolina lightly. Tempered with mustard seeds, chana dal, green chillies &amp; mixed veggies. Use fresh local fish cuts (rohu, pomfret, or seer fish). Simmer gently for 8 mins.</t>
        </is>
      </c>
    </row>
    <row r="41" ht="36" customHeight="1">
      <c r="A41" s="10" t="inlineStr">
        <is>
          <t>2026-12-02</t>
        </is>
      </c>
      <c r="B41" s="10" t="n">
        <v>40</v>
      </c>
      <c r="C41" s="10" t="inlineStr">
        <is>
          <t>Wednesday</t>
        </is>
      </c>
      <c r="D41" s="11" t="inlineStr">
        <is>
          <t>Nourishing Rolled Oats &amp; Tender Chicken Palya</t>
        </is>
      </c>
      <c r="E41" s="11" t="inlineStr">
        <is>
          <t>Warm Rolled Oats (40g dry + 180ml toned milk) + 1 Boiled Egg + Apple slices (50g) [345 kcal, 18g P, 46g C, 10g F, ₹35]</t>
        </is>
      </c>
      <c r="F41" s="11" t="inlineStr">
        <is>
          <t>Vegetable Poha (160g cooked) + 2 Boiled Eggs [360 kcal, 18g P, 42g C, 14g F, ₹32]</t>
        </is>
      </c>
      <c r="G41" s="11" t="inlineStr">
        <is>
          <t>2 Plain Dosas (120g) + Toor Dal Sambar (150ml) + 1 cup warm sprouted moong [330 kcal, 14g P, 48g C, 7g F, ₹25]</t>
        </is>
      </c>
      <c r="H41" s="11" t="inlineStr">
        <is>
          <t>Tender Coconut Water (220ml) + 5 Soaked Almonds [95 kcal, 3g P, 12g C, 4g F, ₹40] | Alt: Fresh Spiced Buttermilk (220ml) with coriander &amp; rock salt [45 kcal, 3g P, 4g C, 1.5g F, ₹15]</t>
        </is>
      </c>
      <c r="I41" s="11" t="inlineStr">
        <is>
          <t>Sona Masoori Rice (150g cooked) + Tender Chicken Curry (130g raw / 95g meat) + Palak (Spinach) Palya (140g) + Rasam [470 kcal, 35g P, 46g C, 13g F, ₹75]</t>
        </is>
      </c>
      <c r="J41" s="11" t="inlineStr">
        <is>
          <t>2 Soft Phulkas (80g) + Fresh Paneer Curry (85g paneer in light gravy) + French Beans Palya (120g) [450 kcal, 21g P, 44g C, 19g F, ₹55]</t>
        </is>
      </c>
      <c r="K41" s="11" t="inlineStr">
        <is>
          <t>Rice (150g) + Toor Dal Tadka (180g) + 2 Boiled Eggs + Beetroot Poriyal (120g) [460 kcal, 25g P, 52g C, 14g F, ₹42]</t>
        </is>
      </c>
      <c r="L41" s="11" t="inlineStr">
        <is>
          <t>Roasted Makhana (30g) + Hot Green Tea with lemon [130 kcal, 3g P, 21g C, 3.5g F, ₹25] | Alt: Boiled Chickpeas Sundal (70g) with mustard &amp; curry leaves [125 kcal, 6g P, 20g C, 2.5g F, ₹18]</t>
        </is>
      </c>
      <c r="M41" s="11" t="inlineStr">
        <is>
          <t>2 Soft Phulkas (75g) + 2 Boiled Eggs in Tomato Onion Curry + Cucumber Salad (100g) [415 kcal, 21g P, 42g C, 15g F, ₹38]</t>
        </is>
      </c>
      <c r="N41" s="11" t="inlineStr">
        <is>
          <t>2 Phulkas (75g) + Grilled Chicken Strips (100g cooked) + Mixed Sautéed Capsicum &amp; Onions [425 kcal, 32g P, 40g C, 11g F, ₹65]</t>
        </is>
      </c>
      <c r="O41" s="11" t="inlineStr">
        <is>
          <t>Warm Moong Dal Vegetable Khichdi (220g) + Fresh Curd (100g) [380 kcal, 15g P, 56g C, 8g F, ₹35]</t>
        </is>
      </c>
      <c r="P41" s="11" t="inlineStr">
        <is>
          <t>Optional Pre: 1 small banana [70 kcal] • Post: 1 cup warm turmeric milk [90 kcal, 6g P]</t>
        </is>
      </c>
      <c r="Q41" s="12" t="n">
        <v>1455</v>
      </c>
      <c r="R41" s="12" t="n">
        <v>80</v>
      </c>
      <c r="S41" s="12" t="n">
        <v>167</v>
      </c>
      <c r="T41" s="12" t="n">
        <v>45.5</v>
      </c>
      <c r="U41" s="12" t="n">
        <v>213</v>
      </c>
      <c r="V41" s="11" t="inlineStr">
        <is>
          <t>Cook oats in milk for 4 mins on medium flame. Stir in pinch of cinnamon powder. Weigh raw boneless chicken (130g). Steam spinach lightly with mustard tempering.</t>
        </is>
      </c>
    </row>
    <row r="42" ht="36" customHeight="1">
      <c r="A42" s="7" t="inlineStr">
        <is>
          <t>2026-12-03</t>
        </is>
      </c>
      <c r="B42" s="7" t="n">
        <v>41</v>
      </c>
      <c r="C42" s="7" t="inlineStr">
        <is>
          <t>Thursday</t>
        </is>
      </c>
      <c r="D42" s="8" t="inlineStr">
        <is>
          <t>Calcium-Rich Ragi Dosa &amp; Fresh Country Egg Feast</t>
        </is>
      </c>
      <c r="E42" s="8" t="inlineStr">
        <is>
          <t>Ragi Dosa (2 medium, 120g) + Coconut Mint Chutney (30g) + 2 Boiled Eggs [350 kcal, 19g P, 40g C, 13g F, ₹35]</t>
        </is>
      </c>
      <c r="F42" s="8" t="inlineStr">
        <is>
          <t>Steamed Idlis (3 pcs, 110g) + Vegetable Sambar (150ml) + 1 Boiled Egg [310 kcal, 13g P, 44g C, 8g F, ₹25]</t>
        </is>
      </c>
      <c r="G42" s="8" t="inlineStr">
        <is>
          <t>Vegetable Upma (180g) + Warm Toned Milk (150ml) [320 kcal, 11g P, 48g C, 9g F, ₹22]</t>
        </is>
      </c>
      <c r="H42" s="8" t="inlineStr">
        <is>
          <t>Fresh Seasonal Fruit (1 Medium Apple or 150g Papaya) + 6 Almonds [115 kcal, 3g P, 22g C, 3.5g F, ₹30] | Alt: Tender Coconut Water (220ml) [45 kcal, 1g P, 10g C, 0g F, ₹35]</t>
        </is>
      </c>
      <c r="I42" s="8" t="inlineStr">
        <is>
          <t>2 Soft Phulkas (80g) + Homestyle Egg Curry (2 eggs) + Cabbage &amp; Carrot Poriyal (140g) + Rasam [445 kcal, 22g P, 48g C, 16g F, ₹42]</t>
        </is>
      </c>
      <c r="J42" s="8" t="inlineStr">
        <is>
          <t>Sona Masoori Rice (150g) + Bengaluru Chicken Curry (95g meat) + Beans Palya (120g) [475 kcal, 34g P, 48g C, 14g F, ₹75]</t>
        </is>
      </c>
      <c r="K42" s="8" t="inlineStr">
        <is>
          <t>Rice (150g) + Thick Toor Dal Tadka (180g) + Fresh Curd (100g) + Tomato Cucumber Salad [440 kcal, 18g P, 56g C, 14g F, ₹40]</t>
        </is>
      </c>
      <c r="L42" s="8" t="inlineStr">
        <is>
          <t>Spiced Boiled Sundal / Chickpeas (80g) with lime [140 kcal, 7g P, 22g C, 3g F, ₹20] | Alt: Roasted Makhana (30g) in 1/2 tsp ghee &amp; rock salt [130 kcal, 3g P, 21g C, 3.5g F, ₹25]</t>
        </is>
      </c>
      <c r="M42" s="8" t="inlineStr">
        <is>
          <t>2 Soft Phulkas (75g) + Home Chicken Curry (100g meat) + Cucumber Salad (100g) [420 kcal, 31g P, 42g C, 12g F, ₹65]</t>
        </is>
      </c>
      <c r="N42" s="8" t="inlineStr">
        <is>
          <t>2 Phulkas (75g) + Fresh Paneer Bhurji (90g paneer, capsicum, onion) + Clear Soup [440 kcal, 20g P, 42g C, 20g F, ₹55]</t>
        </is>
      </c>
      <c r="O42" s="8" t="inlineStr">
        <is>
          <t>Rice-Moong Dal Khichdi (220g) + Curd (100g) + Lauki Sabzi (120g) [385 kcal, 14g P, 58g C, 8.5g F, ₹35]</t>
        </is>
      </c>
      <c r="P42" s="8" t="inlineStr">
        <is>
          <t>Optional Pre: 1 cup tender coconut water [45 kcal] • Post: 1 glass warm milk (150ml) [85 kcal, 5g P]</t>
        </is>
      </c>
      <c r="Q42" s="9" t="n">
        <v>1470</v>
      </c>
      <c r="R42" s="9" t="n">
        <v>82</v>
      </c>
      <c r="S42" s="9" t="n">
        <v>174</v>
      </c>
      <c r="T42" s="9" t="n">
        <v>47.5</v>
      </c>
      <c r="U42" s="9" t="n">
        <v>192</v>
      </c>
      <c r="V42" s="8" t="inlineStr">
        <is>
          <t>Mix ragi flour with equal water, pinch of salt, cumin seeds &amp; chopped onion. Pour on medium hot tawa. Cook vegetables in minimum oil with mustard seeds, curry leaves &amp; grated fresh coconut.</t>
        </is>
      </c>
    </row>
    <row r="43" ht="36" customHeight="1">
      <c r="A43" s="10" t="inlineStr">
        <is>
          <t>2026-12-04</t>
        </is>
      </c>
      <c r="B43" s="10" t="n">
        <v>42</v>
      </c>
      <c r="C43" s="10" t="inlineStr">
        <is>
          <t>Friday</t>
        </is>
      </c>
      <c r="D43" s="11" t="inlineStr">
        <is>
          <t>High-Fiber Soya Chunks &amp; Comfort Idli Sambar</t>
        </is>
      </c>
      <c r="E43" s="11" t="inlineStr">
        <is>
          <t>Steamed Idlis (3 pcs, 110g) + Vegetable Sambar (150ml) + 2 Boiled Eggs [340 kcal, 19g P, 38g C, 12g F, ₹35]</t>
        </is>
      </c>
      <c r="F43" s="11" t="inlineStr">
        <is>
          <t>Vegetable Poha (160g cooked) + 1 Boiled Egg [310 kcal, 12g P, 44g C, 9g F, ₹26]</t>
        </is>
      </c>
      <c r="G43" s="11" t="inlineStr">
        <is>
          <t>Rolled Oats cooked in toned milk (40g + 180ml milk) with 1/2 apple [290 kcal, 12g P, 45g C, 6g F, ₹30]</t>
        </is>
      </c>
      <c r="H43" s="11" t="inlineStr">
        <is>
          <t>Spiced Buttermilk / Majjige (220ml) with curry leaves &amp; ginger [45 kcal, 3g P, 4g C, 1.5g F, ₹15] | Alt: Fresh Papaya slices (150g) + 5 almonds [110 kcal, 3g P, 22g C, 3g F, ₹28]</t>
        </is>
      </c>
      <c r="I43" s="11" t="inlineStr">
        <is>
          <t>Sona Masoori Rice (150g cooked) + Soya Chunks Curry (45g dry soya chunks cooked in onion-tomato gravy) + French Beans Palya (130g) + Rasam [460 kcal, 31g P, 56g C, 9g F, ₹42]</t>
        </is>
      </c>
      <c r="J43" s="11" t="inlineStr">
        <is>
          <t>2 Phulkas (80g) + Chicken Curry (95g meat) + Cabbage Poriyal (120g) [440 kcal, 31g P, 44g C, 13g F, ₹65]</t>
        </is>
      </c>
      <c r="K43" s="11" t="inlineStr">
        <is>
          <t>Rice (150g) + Thick Toor Dal (180g) + 2 Boiled Eggs + Ridge Gourd Palya (120g) [455 kcal, 24g P, 52g C, 14g F, ₹40]</t>
        </is>
      </c>
      <c r="L43" s="11" t="inlineStr">
        <is>
          <t>Roasted Kadale / Chana (30g) + Hot Elaichi Tea (100ml milk) [140 kcal, 6g P, 20g C, 3.5g F, ₹18] | Alt: Roasted Makhana (30g) in ghee &amp; rock salt [130 kcal, 3g P, 21g C, 3.5g F, ₹25]</t>
        </is>
      </c>
      <c r="M43" s="11" t="inlineStr">
        <is>
          <t>2 Soft Phulkas (75g) + 2 Boiled Eggs in Mild Curry + Cucumber Carrot Salad (120g) [415 kcal, 21g P, 42g C, 15g F, ₹38]</t>
        </is>
      </c>
      <c r="N43" s="11" t="inlineStr">
        <is>
          <t>2 Phulkas (75g) + Paneer Bhurji (90g paneer, capsicum, tomato) + Warm Soup [445 kcal, 20g P, 44g C, 19g F, ₹58]</t>
        </is>
      </c>
      <c r="O43" s="11" t="inlineStr">
        <is>
          <t>2 Ragi Rotis (120g) + Chicken Curry (90g meat) + Cucumber Slices [425 kcal, 30g P, 46g C, 11g F, ₹68]</t>
        </is>
      </c>
      <c r="P43" s="11" t="inlineStr">
        <is>
          <t>Optional Pre: 1 small banana [70 kcal] • Post: 1 glass warm milk [90 kcal, 6g P]</t>
        </is>
      </c>
      <c r="Q43" s="12" t="n">
        <v>1400</v>
      </c>
      <c r="R43" s="12" t="n">
        <v>80</v>
      </c>
      <c r="S43" s="12" t="n">
        <v>160</v>
      </c>
      <c r="T43" s="12" t="n">
        <v>41</v>
      </c>
      <c r="U43" s="12" t="n">
        <v>151</v>
      </c>
      <c r="V43" s="11" t="inlineStr">
        <is>
          <t>Dip idlis in piping hot sambar. Eggs provide complete amino acid profile. Soak soya chunks in warm water for 15 mins. Squeeze out bitter water completely before cooking.</t>
        </is>
      </c>
    </row>
    <row r="44" ht="36" customHeight="1">
      <c r="A44" s="7" t="inlineStr">
        <is>
          <t>2026-12-05</t>
        </is>
      </c>
      <c r="B44" s="7" t="n">
        <v>43</v>
      </c>
      <c r="C44" s="7" t="inlineStr">
        <is>
          <t>Saturday</t>
        </is>
      </c>
      <c r="D44" s="8" t="inlineStr">
        <is>
          <t>Comfort Steamed Staples &amp; Bengaluru Chicken Curry</t>
        </is>
      </c>
      <c r="E44" s="8" t="inlineStr">
        <is>
          <t>Steamed Idlis (3 pcs, 110g) + Veg Sambar (150ml) + 2 Boiled Eggs (100g) [340 kcal, 19g P, 38g C, 12g F, ₹35]</t>
        </is>
      </c>
      <c r="F44" s="8" t="inlineStr">
        <is>
          <t>Steamed Idlis (3 pcs) + Veg Sambar + 1 cup warm sprouted moong salad (100g) [310 kcal, 13g P, 46g C, 5g F, ₹25]</t>
        </is>
      </c>
      <c r="G44" s="8" t="inlineStr">
        <is>
          <t>Ragi Dosa (2 medium, 120g) + Mint Chutney (30g) + 1 Boiled Egg [320 kcal, 14g P, 42g C, 11g F, ₹28]</t>
        </is>
      </c>
      <c r="H44" s="8" t="inlineStr">
        <is>
          <t>Tender Coconut Water (220ml) + Handful Roasted Chana (25g) [130 kcal, 5g P, 22g C, 2g F, ₹40] | Alt: Fresh Papaya slices (150g) + 5 soaked almonds [110 kcal, 3g P, 22g C, 3g F, ₹30]</t>
        </is>
      </c>
      <c r="I44" s="8" t="inlineStr">
        <is>
          <t>Sona Masoori Rice (150g cooked / 55g raw) + Bengaluru Chicken Curry (130g raw / 95g cooked meat) + French Beans Palya (130g) + Pepper Rasam [475 kcal, 34g P, 48g C, 14g F, ₹75]</t>
        </is>
      </c>
      <c r="J44" s="8" t="inlineStr">
        <is>
          <t>2 Soft Wheat Phulkas (80g) + Homestyle Egg Curry (2 eggs in onion-tomato gravy) + Cabbage Poriyal (140g) [440 kcal, 21g P, 48g C, 16g F, ₹40]</t>
        </is>
      </c>
      <c r="K44" s="8" t="inlineStr">
        <is>
          <t>Sona Masoori Rice (150g) + Thick Toor Dal Tadka (180g) + Paneer Palya (80g paneer) + Fresh Curd (100g) [480 kcal, 23g P, 54g C, 18g F, ₹55]</t>
        </is>
      </c>
      <c r="L44" s="8" t="inlineStr">
        <is>
          <t>Spiced Boiled Sundal / Chickpeas (80g) with mustard tempering &amp; lemon [140 kcal, 7g P, 22g C, 3g F, ₹20] | Alt: Roasted Makhana (30g) in 1/2 tsp ghee &amp; rock salt [130 kcal, 3g P, 21g C, 3.5g F, ₹25]</t>
        </is>
      </c>
      <c r="M44" s="8" t="inlineStr">
        <is>
          <t>2 Soft Whole Wheat Phulkas (75g) + Grilled/Pan Chicken Curry (100g meat) + Cucumber Tomato Salad (120g) [420 kcal, 31g P, 42g C, 12g F, ₹65]</t>
        </is>
      </c>
      <c r="N44" s="8" t="inlineStr">
        <is>
          <t>2 Phulkas (75g) + Fresh Paneer Bhurji (90g paneer with capsicum &amp; onion) + Tomato Clear Soup [440 kcal, 20g P, 42g C, 20g F, ₹55]</t>
        </is>
      </c>
      <c r="O44" s="8" t="inlineStr">
        <is>
          <t>Warm Rice-Moong Dal Khichdi (220g) + Fresh Curd (100g) + Steamed Beetroot Poriyal (100g) [380 kcal, 14g P, 58g C, 8g F, ₹35]</t>
        </is>
      </c>
      <c r="P44" s="8" t="inlineStr">
        <is>
          <t>Optional Pre: 1 small banana (80g) [70 kcal] • Post: 1 glass warm toned milk with turmeric (180ml) [95 kcal, 6g P]</t>
        </is>
      </c>
      <c r="Q44" s="9" t="n">
        <v>1505</v>
      </c>
      <c r="R44" s="9" t="n">
        <v>96</v>
      </c>
      <c r="S44" s="9" t="n">
        <v>172</v>
      </c>
      <c r="T44" s="9" t="n">
        <v>43</v>
      </c>
      <c r="U44" s="9" t="n">
        <v>235</v>
      </c>
      <c r="V44" s="8" t="inlineStr">
        <is>
          <t>Steam idlis in idli cooker for 10-12 mins. Weigh 110g cooked on kitchen scale. Zero plate on scale, measure 150g warm rice, then add 95g cooked chicken meat without bones.</t>
        </is>
      </c>
    </row>
    <row r="45" ht="36" customHeight="1">
      <c r="A45" s="10" t="inlineStr">
        <is>
          <t>2026-12-06</t>
        </is>
      </c>
      <c r="B45" s="10" t="n">
        <v>44</v>
      </c>
      <c r="C45" s="10" t="inlineStr">
        <is>
          <t>Sunday</t>
        </is>
      </c>
      <c r="D45" s="11" t="inlineStr">
        <is>
          <t>Iron-Rich Poha, Egg Curry &amp; Golden Turmeric Phulkas</t>
        </is>
      </c>
      <c r="E45" s="11" t="inlineStr">
        <is>
          <t>Vegetable Poha (160g cooked) tempered with mustard &amp; roasted peanuts (15g) + 1 Boiled Egg [330 kcal, 13g P, 44g C, 11g F, ₹28]</t>
        </is>
      </c>
      <c r="F45" s="11" t="inlineStr">
        <is>
          <t>Vegetable Poha (180g) + 1 glass warm toned milk (150ml) [310 kcal, 11g P, 48g C, 8g F, ₹24]</t>
        </is>
      </c>
      <c r="G45" s="11" t="inlineStr">
        <is>
          <t>Rolled Oats cooked in milk (40g oats + 180ml toned milk) with half diced apple [290 kcal, 12g P, 45g C, 6g F, ₹30]</t>
        </is>
      </c>
      <c r="H45" s="11" t="inlineStr">
        <is>
          <t>Spiced Majjige / Buttermilk (220ml) with grated ginger &amp; curry leaves [45 kcal, 3g P, 4g C, 1.5g F, ₹15] | Alt: 1 Crisp Guava or Apple (130g) with pinch of rock salt [75 kcal, 1.5g P, 18g C, 0.5g F, ₹20]</t>
        </is>
      </c>
      <c r="I45" s="11" t="inlineStr">
        <is>
          <t>2 Soft Phulkas (80g) + 2 Boiled Eggs in Onion-Tomato Gravy (120g gravy) + Ridge Gourd (Heerekayi) Palya (140g) [450 kcal, 22g P, 48g C, 17g F, ₹45]</t>
        </is>
      </c>
      <c r="J45" s="11" t="inlineStr">
        <is>
          <t>Sona Masoori Rice (150g) + Fish Curry (120g rohu/pomfret in light coconut gravy) + Beans Poriyal (120g) [460 kcal, 32g P, 46g C, 13g F, ₹80]</t>
        </is>
      </c>
      <c r="K45" s="11" t="inlineStr">
        <is>
          <t>Cooked Rice (150g) + Mixed Vegetable Sambar (180g) + Pan-seared Tofu or Paneer (80g) + Cucumber Slices [465 kcal, 21g P, 52g C, 17g F, ₹55]</t>
        </is>
      </c>
      <c r="L45" s="11" t="inlineStr">
        <is>
          <t>Boiled Sweet Corn (120g) with lemon squeeze &amp; chaat masala [120 kcal, 4g P, 24g C, 1.5g F, ₹20] | Alt: Roasted Kadale / Chana (30g) + Warm Elaichi Green Tea [125 kcal, 6g P, 18g C, 2.5g F, ₹15]</t>
        </is>
      </c>
      <c r="M45" s="11" t="inlineStr">
        <is>
          <t>2 Soft Phulkas (75g) + Fresh Paneer Bhurji (90g paneer, capsicum, tomato) + Warm Tomato Rasam (150ml) [445 kcal, 21g P, 44g C, 19g F, ₹60]</t>
        </is>
      </c>
      <c r="N45" s="11" t="inlineStr">
        <is>
          <t>2 Ragi Rotis (130g) + Chicken Curry (90g cooked meat) + Onion Cucumber Raita (80g) [430 kcal, 30g P, 46g C, 11g F, ₹70]</t>
        </is>
      </c>
      <c r="O45" s="11" t="inlineStr">
        <is>
          <t>Moong Dal Vegetable Dalia Khichdi (220g) + Fresh Curd (100g) [390 kcal, 16g P, 54g C, 9g F, ₹35]</t>
        </is>
      </c>
      <c r="P45" s="11" t="inlineStr">
        <is>
          <t>Optional Pre: 2 Medjool dates [80 kcal] • Post: 1 boiled egg white or 100g warm milk [55 kcal, 4g P]</t>
        </is>
      </c>
      <c r="Q45" s="12" t="n">
        <v>1390</v>
      </c>
      <c r="R45" s="12" t="n">
        <v>63</v>
      </c>
      <c r="S45" s="12" t="n">
        <v>164</v>
      </c>
      <c r="T45" s="12" t="n">
        <v>50</v>
      </c>
      <c r="U45" s="12" t="n">
        <v>168</v>
      </c>
      <c r="V45" s="11" t="inlineStr">
        <is>
          <t>Rinse thick poha in colander, drain well. Sauté with onion, curry leaves, carrots &amp; roasted peanuts. Prick boiled eggs gently before simmering in gravy to absorb rich flavours.</t>
        </is>
      </c>
    </row>
    <row r="46" ht="36" customHeight="1">
      <c r="A46" s="7" t="inlineStr">
        <is>
          <t>2026-12-07</t>
        </is>
      </c>
      <c r="B46" s="7" t="n">
        <v>45</v>
      </c>
      <c r="C46" s="7" t="inlineStr">
        <is>
          <t>Monday</t>
        </is>
      </c>
      <c r="D46" s="8" t="inlineStr">
        <is>
          <t>Bengaluru Rava Upma &amp; Fresh Coastal Home Curry</t>
        </is>
      </c>
      <c r="E46" s="8" t="inlineStr">
        <is>
          <t>Bengaluru Vegetable Rava Upma (180g cooked) with roasted peanuts + 1 Boiled Egg [340 kcal, 14g P, 44g C, 12g F, ₹26]</t>
        </is>
      </c>
      <c r="F46" s="8" t="inlineStr">
        <is>
          <t>Vegetable Upma (180g) + 1 glass warm toned milk (150ml) [320 kcal, 11g P, 48g C, 9g F, ₹24]</t>
        </is>
      </c>
      <c r="G46" s="8" t="inlineStr">
        <is>
          <t>Steamed Idlis (3 pcs) with Mint Toor Dal Chutney (40g) + 1 Boiled Egg [320 kcal, 15g P, 42g C, 9g F, ₹28]</t>
        </is>
      </c>
      <c r="H46" s="8" t="inlineStr">
        <is>
          <t>Fresh Fruit Bowl (150g watermelon or papaya) + 6 soaked almonds [110 kcal, 3g P, 22g C, 3g F, ₹30] | Alt: Tender Coconut Water (220ml) [45 kcal, 1g P, 10g C, 0g F, ₹35]</t>
        </is>
      </c>
      <c r="I46" s="8" t="inlineStr">
        <is>
          <t>Sona Masoori Rice (150g cooked) + Bengaluru Fish Curry (120g fresh fish in light gravy) + Cabbage &amp; Pea Poriyal (130g) + Rasam [450 kcal, 33g P, 46g C, 13g F, ₹80]</t>
        </is>
      </c>
      <c r="J46" s="8" t="inlineStr">
        <is>
          <t>2 Phulkas (80g) + Chicken Curry (95g cooked meat) + Cucumber Carrot Salad (100g) [440 kcal, 31g P, 44g C, 13g F, ₹65]</t>
        </is>
      </c>
      <c r="K46" s="8" t="inlineStr">
        <is>
          <t>Rice (150g) + Thick Chana Dal (180g) + Beans Palya (130g) + Fresh Curd (100g) [470 kcal, 22g P, 56g C, 15g F, ₹45]</t>
        </is>
      </c>
      <c r="L46" s="8" t="inlineStr">
        <is>
          <t>Roasted Puri Kadale / Chana (30g) + Warm Ginger Tea (100ml low-fat milk) [140 kcal, 6g P, 20g C, 3.5g F, ₹18] | Alt: Spiced Boiled Moong Sprouts (80g) with lime &amp; salt [110 kcal, 7g P, 18g C, 1g F, ₹15]</t>
        </is>
      </c>
      <c r="M46" s="8" t="inlineStr">
        <is>
          <t>2 Soft Phulkas (75g) + Soya Chunks &amp; Green Pea Curry (45g dry soya + 50g peas) + Fresh Curd (80g) [420 kcal, 29g P, 48g C, 9g F, ₹40]</t>
        </is>
      </c>
      <c r="N46" s="8" t="inlineStr">
        <is>
          <t>2 Phulkas (75g) + 2 Boiled Eggs in Homestyle Curry (100g) + Sliced Cucumber [410 kcal, 21g P, 42g C, 15g F, ₹38]</t>
        </is>
      </c>
      <c r="O46" s="8" t="inlineStr">
        <is>
          <t>2 Ragi Rotis (120g) + Mixed Vegetable Sambar (180ml) + Sautéed Palak (100g) [380 kcal, 14g P, 54g C, 8g F, ₹30]</t>
        </is>
      </c>
      <c r="P46" s="8" t="inlineStr">
        <is>
          <t>Optional Pre: 1 cup tender coconut water [45 kcal] • Post: 1 glass warm milk (150ml) [85 kcal, 5g P]</t>
        </is>
      </c>
      <c r="Q46" s="9" t="n">
        <v>1460</v>
      </c>
      <c r="R46" s="9" t="n">
        <v>85</v>
      </c>
      <c r="S46" s="9" t="n">
        <v>180</v>
      </c>
      <c r="T46" s="9" t="n">
        <v>40.5</v>
      </c>
      <c r="U46" s="9" t="n">
        <v>194</v>
      </c>
      <c r="V46" s="8" t="inlineStr">
        <is>
          <t>Dry roast semolina lightly. Tempered with mustard seeds, chana dal, green chillies &amp; mixed veggies. Use fresh local fish cuts (rohu, pomfret, or seer fish). Simmer gently for 8 mins.</t>
        </is>
      </c>
    </row>
    <row r="47" ht="36" customHeight="1">
      <c r="A47" s="10" t="inlineStr">
        <is>
          <t>2026-12-08</t>
        </is>
      </c>
      <c r="B47" s="10" t="n">
        <v>46</v>
      </c>
      <c r="C47" s="10" t="inlineStr">
        <is>
          <t>Tuesday</t>
        </is>
      </c>
      <c r="D47" s="11" t="inlineStr">
        <is>
          <t>Nourishing Rolled Oats &amp; Tender Chicken Palya</t>
        </is>
      </c>
      <c r="E47" s="11" t="inlineStr">
        <is>
          <t>Warm Rolled Oats (40g dry + 180ml toned milk) + 1 Boiled Egg + Apple slices (50g) [345 kcal, 18g P, 46g C, 10g F, ₹35]</t>
        </is>
      </c>
      <c r="F47" s="11" t="inlineStr">
        <is>
          <t>Vegetable Poha (160g cooked) + 2 Boiled Eggs [360 kcal, 18g P, 42g C, 14g F, ₹32]</t>
        </is>
      </c>
      <c r="G47" s="11" t="inlineStr">
        <is>
          <t>2 Plain Dosas (120g) + Toor Dal Sambar (150ml) + 1 cup warm sprouted moong [330 kcal, 14g P, 48g C, 7g F, ₹25]</t>
        </is>
      </c>
      <c r="H47" s="11" t="inlineStr">
        <is>
          <t>Tender Coconut Water (220ml) + 5 Soaked Almonds [95 kcal, 3g P, 12g C, 4g F, ₹40] | Alt: Fresh Spiced Buttermilk (220ml) with coriander &amp; rock salt [45 kcal, 3g P, 4g C, 1.5g F, ₹15]</t>
        </is>
      </c>
      <c r="I47" s="11" t="inlineStr">
        <is>
          <t>Sona Masoori Rice (150g cooked) + Tender Chicken Curry (130g raw / 95g meat) + Palak (Spinach) Palya (140g) + Rasam [470 kcal, 35g P, 46g C, 13g F, ₹75]</t>
        </is>
      </c>
      <c r="J47" s="11" t="inlineStr">
        <is>
          <t>2 Soft Phulkas (80g) + Fresh Paneer Curry (85g paneer in light gravy) + French Beans Palya (120g) [450 kcal, 21g P, 44g C, 19g F, ₹55]</t>
        </is>
      </c>
      <c r="K47" s="11" t="inlineStr">
        <is>
          <t>Rice (150g) + Toor Dal Tadka (180g) + 2 Boiled Eggs + Beetroot Poriyal (120g) [460 kcal, 25g P, 52g C, 14g F, ₹42]</t>
        </is>
      </c>
      <c r="L47" s="11" t="inlineStr">
        <is>
          <t>Roasted Makhana (30g) + Hot Green Tea with lemon [130 kcal, 3g P, 21g C, 3.5g F, ₹25] | Alt: Boiled Chickpeas Sundal (70g) with mustard &amp; curry leaves [125 kcal, 6g P, 20g C, 2.5g F, ₹18]</t>
        </is>
      </c>
      <c r="M47" s="11" t="inlineStr">
        <is>
          <t>2 Soft Phulkas (75g) + 2 Boiled Eggs in Tomato Onion Curry + Cucumber Salad (100g) [415 kcal, 21g P, 42g C, 15g F, ₹38]</t>
        </is>
      </c>
      <c r="N47" s="11" t="inlineStr">
        <is>
          <t>2 Phulkas (75g) + Grilled Chicken Strips (100g cooked) + Mixed Sautéed Capsicum &amp; Onions [425 kcal, 32g P, 40g C, 11g F, ₹65]</t>
        </is>
      </c>
      <c r="O47" s="11" t="inlineStr">
        <is>
          <t>Warm Moong Dal Vegetable Khichdi (220g) + Fresh Curd (100g) [380 kcal, 15g P, 56g C, 8g F, ₹35]</t>
        </is>
      </c>
      <c r="P47" s="11" t="inlineStr">
        <is>
          <t>Optional Pre: 1 small banana [70 kcal] • Post: 1 cup warm turmeric milk [90 kcal, 6g P]</t>
        </is>
      </c>
      <c r="Q47" s="12" t="n">
        <v>1455</v>
      </c>
      <c r="R47" s="12" t="n">
        <v>80</v>
      </c>
      <c r="S47" s="12" t="n">
        <v>167</v>
      </c>
      <c r="T47" s="12" t="n">
        <v>45.5</v>
      </c>
      <c r="U47" s="12" t="n">
        <v>213</v>
      </c>
      <c r="V47" s="11" t="inlineStr">
        <is>
          <t>Cook oats in milk for 4 mins on medium flame. Stir in pinch of cinnamon powder. Weigh raw boneless chicken (130g). Steam spinach lightly with mustard tempering.</t>
        </is>
      </c>
    </row>
    <row r="48" ht="36" customHeight="1">
      <c r="A48" s="7" t="inlineStr">
        <is>
          <t>2026-12-09</t>
        </is>
      </c>
      <c r="B48" s="7" t="n">
        <v>47</v>
      </c>
      <c r="C48" s="7" t="inlineStr">
        <is>
          <t>Wednesday</t>
        </is>
      </c>
      <c r="D48" s="8" t="inlineStr">
        <is>
          <t>Calcium-Rich Ragi Dosa &amp; Fresh Country Egg Feast</t>
        </is>
      </c>
      <c r="E48" s="8" t="inlineStr">
        <is>
          <t>Ragi Dosa (2 medium, 120g) + Coconut Mint Chutney (30g) + 2 Boiled Eggs [350 kcal, 19g P, 40g C, 13g F, ₹35]</t>
        </is>
      </c>
      <c r="F48" s="8" t="inlineStr">
        <is>
          <t>Steamed Idlis (3 pcs, 110g) + Vegetable Sambar (150ml) + 1 Boiled Egg [310 kcal, 13g P, 44g C, 8g F, ₹25]</t>
        </is>
      </c>
      <c r="G48" s="8" t="inlineStr">
        <is>
          <t>Vegetable Upma (180g) + Warm Toned Milk (150ml) [320 kcal, 11g P, 48g C, 9g F, ₹22]</t>
        </is>
      </c>
      <c r="H48" s="8" t="inlineStr">
        <is>
          <t>Fresh Seasonal Fruit (1 Medium Apple or 150g Papaya) + 6 Almonds [115 kcal, 3g P, 22g C, 3.5g F, ₹30] | Alt: Tender Coconut Water (220ml) [45 kcal, 1g P, 10g C, 0g F, ₹35]</t>
        </is>
      </c>
      <c r="I48" s="8" t="inlineStr">
        <is>
          <t>2 Soft Phulkas (80g) + Homestyle Egg Curry (2 eggs) + Cabbage &amp; Carrot Poriyal (140g) + Rasam [445 kcal, 22g P, 48g C, 16g F, ₹42]</t>
        </is>
      </c>
      <c r="J48" s="8" t="inlineStr">
        <is>
          <t>Sona Masoori Rice (150g) + Bengaluru Chicken Curry (95g meat) + Beans Palya (120g) [475 kcal, 34g P, 48g C, 14g F, ₹75]</t>
        </is>
      </c>
      <c r="K48" s="8" t="inlineStr">
        <is>
          <t>Rice (150g) + Thick Toor Dal Tadka (180g) + Fresh Curd (100g) + Tomato Cucumber Salad [440 kcal, 18g P, 56g C, 14g F, ₹40]</t>
        </is>
      </c>
      <c r="L48" s="8" t="inlineStr">
        <is>
          <t>Spiced Boiled Sundal / Chickpeas (80g) with lime [140 kcal, 7g P, 22g C, 3g F, ₹20] | Alt: Roasted Makhana (30g) in 1/2 tsp ghee &amp; rock salt [130 kcal, 3g P, 21g C, 3.5g F, ₹25]</t>
        </is>
      </c>
      <c r="M48" s="8" t="inlineStr">
        <is>
          <t>2 Soft Phulkas (75g) + Home Chicken Curry (100g meat) + Cucumber Salad (100g) [420 kcal, 31g P, 42g C, 12g F, ₹65]</t>
        </is>
      </c>
      <c r="N48" s="8" t="inlineStr">
        <is>
          <t>2 Phulkas (75g) + Fresh Paneer Bhurji (90g paneer, capsicum, onion) + Clear Soup [440 kcal, 20g P, 42g C, 20g F, ₹55]</t>
        </is>
      </c>
      <c r="O48" s="8" t="inlineStr">
        <is>
          <t>Rice-Moong Dal Khichdi (220g) + Curd (100g) + Lauki Sabzi (120g) [385 kcal, 14g P, 58g C, 8.5g F, ₹35]</t>
        </is>
      </c>
      <c r="P48" s="8" t="inlineStr">
        <is>
          <t>Optional Pre: 1 cup tender coconut water [45 kcal] • Post: 1 glass warm milk (150ml) [85 kcal, 5g P]</t>
        </is>
      </c>
      <c r="Q48" s="9" t="n">
        <v>1470</v>
      </c>
      <c r="R48" s="9" t="n">
        <v>82</v>
      </c>
      <c r="S48" s="9" t="n">
        <v>174</v>
      </c>
      <c r="T48" s="9" t="n">
        <v>47.5</v>
      </c>
      <c r="U48" s="9" t="n">
        <v>192</v>
      </c>
      <c r="V48" s="8" t="inlineStr">
        <is>
          <t>Mix ragi flour with equal water, pinch of salt, cumin seeds &amp; chopped onion. Pour on medium hot tawa. Cook vegetables in minimum oil with mustard seeds, curry leaves &amp; grated fresh coconut.</t>
        </is>
      </c>
    </row>
    <row r="49" ht="36" customHeight="1">
      <c r="A49" s="10" t="inlineStr">
        <is>
          <t>2026-12-10</t>
        </is>
      </c>
      <c r="B49" s="10" t="n">
        <v>48</v>
      </c>
      <c r="C49" s="10" t="inlineStr">
        <is>
          <t>Thursday</t>
        </is>
      </c>
      <c r="D49" s="11" t="inlineStr">
        <is>
          <t>High-Fiber Soya Chunks &amp; Comfort Idli Sambar</t>
        </is>
      </c>
      <c r="E49" s="11" t="inlineStr">
        <is>
          <t>Steamed Idlis (3 pcs, 110g) + Vegetable Sambar (150ml) + 2 Boiled Eggs [340 kcal, 19g P, 38g C, 12g F, ₹35]</t>
        </is>
      </c>
      <c r="F49" s="11" t="inlineStr">
        <is>
          <t>Vegetable Poha (160g cooked) + 1 Boiled Egg [310 kcal, 12g P, 44g C, 9g F, ₹26]</t>
        </is>
      </c>
      <c r="G49" s="11" t="inlineStr">
        <is>
          <t>Rolled Oats cooked in toned milk (40g + 180ml milk) with 1/2 apple [290 kcal, 12g P, 45g C, 6g F, ₹30]</t>
        </is>
      </c>
      <c r="H49" s="11" t="inlineStr">
        <is>
          <t>Spiced Buttermilk / Majjige (220ml) with curry leaves &amp; ginger [45 kcal, 3g P, 4g C, 1.5g F, ₹15] | Alt: Fresh Papaya slices (150g) + 5 almonds [110 kcal, 3g P, 22g C, 3g F, ₹28]</t>
        </is>
      </c>
      <c r="I49" s="11" t="inlineStr">
        <is>
          <t>Sona Masoori Rice (150g cooked) + Soya Chunks Curry (45g dry soya chunks cooked in onion-tomato gravy) + French Beans Palya (130g) + Rasam [460 kcal, 31g P, 56g C, 9g F, ₹42]</t>
        </is>
      </c>
      <c r="J49" s="11" t="inlineStr">
        <is>
          <t>2 Phulkas (80g) + Chicken Curry (95g meat) + Cabbage Poriyal (120g) [440 kcal, 31g P, 44g C, 13g F, ₹65]</t>
        </is>
      </c>
      <c r="K49" s="11" t="inlineStr">
        <is>
          <t>Rice (150g) + Thick Toor Dal (180g) + 2 Boiled Eggs + Ridge Gourd Palya (120g) [455 kcal, 24g P, 52g C, 14g F, ₹40]</t>
        </is>
      </c>
      <c r="L49" s="11" t="inlineStr">
        <is>
          <t>Roasted Kadale / Chana (30g) + Hot Elaichi Tea (100ml milk) [140 kcal, 6g P, 20g C, 3.5g F, ₹18] | Alt: Roasted Makhana (30g) in ghee &amp; rock salt [130 kcal, 3g P, 21g C, 3.5g F, ₹25]</t>
        </is>
      </c>
      <c r="M49" s="11" t="inlineStr">
        <is>
          <t>2 Soft Phulkas (75g) + 2 Boiled Eggs in Mild Curry + Cucumber Carrot Salad (120g) [415 kcal, 21g P, 42g C, 15g F, ₹38]</t>
        </is>
      </c>
      <c r="N49" s="11" t="inlineStr">
        <is>
          <t>2 Phulkas (75g) + Paneer Bhurji (90g paneer, capsicum, tomato) + Warm Soup [445 kcal, 20g P, 44g C, 19g F, ₹58]</t>
        </is>
      </c>
      <c r="O49" s="11" t="inlineStr">
        <is>
          <t>2 Ragi Rotis (120g) + Chicken Curry (90g meat) + Cucumber Slices [425 kcal, 30g P, 46g C, 11g F, ₹68]</t>
        </is>
      </c>
      <c r="P49" s="11" t="inlineStr">
        <is>
          <t>Optional Pre: 1 small banana [70 kcal] • Post: 1 glass warm milk [90 kcal, 6g P]</t>
        </is>
      </c>
      <c r="Q49" s="12" t="n">
        <v>1400</v>
      </c>
      <c r="R49" s="12" t="n">
        <v>80</v>
      </c>
      <c r="S49" s="12" t="n">
        <v>160</v>
      </c>
      <c r="T49" s="12" t="n">
        <v>41</v>
      </c>
      <c r="U49" s="12" t="n">
        <v>151</v>
      </c>
      <c r="V49" s="11" t="inlineStr">
        <is>
          <t>Dip idlis in piping hot sambar. Eggs provide complete amino acid profile. Soak soya chunks in warm water for 15 mins. Squeeze out bitter water completely before cooking.</t>
        </is>
      </c>
    </row>
    <row r="50" ht="36" customHeight="1">
      <c r="A50" s="7" t="inlineStr">
        <is>
          <t>2026-12-11</t>
        </is>
      </c>
      <c r="B50" s="7" t="n">
        <v>49</v>
      </c>
      <c r="C50" s="7" t="inlineStr">
        <is>
          <t>Friday</t>
        </is>
      </c>
      <c r="D50" s="8" t="inlineStr">
        <is>
          <t>Comfort Steamed Staples &amp; Bengaluru Chicken Curry</t>
        </is>
      </c>
      <c r="E50" s="8" t="inlineStr">
        <is>
          <t>Steamed Idlis (3 pcs, 110g) + Veg Sambar (150ml) + 2 Boiled Eggs (100g) [340 kcal, 19g P, 38g C, 12g F, ₹35]</t>
        </is>
      </c>
      <c r="F50" s="8" t="inlineStr">
        <is>
          <t>Steamed Idlis (3 pcs) + Veg Sambar + 1 cup warm sprouted moong salad (100g) [310 kcal, 13g P, 46g C, 5g F, ₹25]</t>
        </is>
      </c>
      <c r="G50" s="8" t="inlineStr">
        <is>
          <t>Ragi Dosa (2 medium, 120g) + Mint Chutney (30g) + 1 Boiled Egg [320 kcal, 14g P, 42g C, 11g F, ₹28]</t>
        </is>
      </c>
      <c r="H50" s="8" t="inlineStr">
        <is>
          <t>Tender Coconut Water (220ml) + Handful Roasted Chana (25g) [130 kcal, 5g P, 22g C, 2g F, ₹40] | Alt: Fresh Papaya slices (150g) + 5 soaked almonds [110 kcal, 3g P, 22g C, 3g F, ₹30]</t>
        </is>
      </c>
      <c r="I50" s="8" t="inlineStr">
        <is>
          <t>Sona Masoori Rice (150g cooked / 55g raw) + Bengaluru Chicken Curry (130g raw / 95g cooked meat) + French Beans Palya (130g) + Pepper Rasam [475 kcal, 34g P, 48g C, 14g F, ₹75]</t>
        </is>
      </c>
      <c r="J50" s="8" t="inlineStr">
        <is>
          <t>2 Soft Wheat Phulkas (80g) + Homestyle Egg Curry (2 eggs in onion-tomato gravy) + Cabbage Poriyal (140g) [440 kcal, 21g P, 48g C, 16g F, ₹40]</t>
        </is>
      </c>
      <c r="K50" s="8" t="inlineStr">
        <is>
          <t>Sona Masoori Rice (150g) + Thick Toor Dal Tadka (180g) + Paneer Palya (80g paneer) + Fresh Curd (100g) [480 kcal, 23g P, 54g C, 18g F, ₹55]</t>
        </is>
      </c>
      <c r="L50" s="8" t="inlineStr">
        <is>
          <t>Spiced Boiled Sundal / Chickpeas (80g) with mustard tempering &amp; lemon [140 kcal, 7g P, 22g C, 3g F, ₹20] | Alt: Roasted Makhana (30g) in 1/2 tsp ghee &amp; rock salt [130 kcal, 3g P, 21g C, 3.5g F, ₹25]</t>
        </is>
      </c>
      <c r="M50" s="8" t="inlineStr">
        <is>
          <t>2 Soft Whole Wheat Phulkas (75g) + Grilled/Pan Chicken Curry (100g meat) + Cucumber Tomato Salad (120g) [420 kcal, 31g P, 42g C, 12g F, ₹65]</t>
        </is>
      </c>
      <c r="N50" s="8" t="inlineStr">
        <is>
          <t>2 Phulkas (75g) + Fresh Paneer Bhurji (90g paneer with capsicum &amp; onion) + Tomato Clear Soup [440 kcal, 20g P, 42g C, 20g F, ₹55]</t>
        </is>
      </c>
      <c r="O50" s="8" t="inlineStr">
        <is>
          <t>Warm Rice-Moong Dal Khichdi (220g) + Fresh Curd (100g) + Steamed Beetroot Poriyal (100g) [380 kcal, 14g P, 58g C, 8g F, ₹35]</t>
        </is>
      </c>
      <c r="P50" s="8" t="inlineStr">
        <is>
          <t>Optional Pre: 1 small banana (80g) [70 kcal] • Post: 1 glass warm toned milk with turmeric (180ml) [95 kcal, 6g P]</t>
        </is>
      </c>
      <c r="Q50" s="9" t="n">
        <v>1505</v>
      </c>
      <c r="R50" s="9" t="n">
        <v>96</v>
      </c>
      <c r="S50" s="9" t="n">
        <v>172</v>
      </c>
      <c r="T50" s="9" t="n">
        <v>43</v>
      </c>
      <c r="U50" s="9" t="n">
        <v>235</v>
      </c>
      <c r="V50" s="8" t="inlineStr">
        <is>
          <t>Steam idlis in idli cooker for 10-12 mins. Weigh 110g cooked on kitchen scale. Zero plate on scale, measure 150g warm rice, then add 95g cooked chicken meat without bones.</t>
        </is>
      </c>
    </row>
    <row r="51" ht="36" customHeight="1">
      <c r="A51" s="10" t="inlineStr">
        <is>
          <t>2026-12-12</t>
        </is>
      </c>
      <c r="B51" s="10" t="n">
        <v>50</v>
      </c>
      <c r="C51" s="10" t="inlineStr">
        <is>
          <t>Saturday</t>
        </is>
      </c>
      <c r="D51" s="11" t="inlineStr">
        <is>
          <t>Iron-Rich Poha, Egg Curry &amp; Golden Turmeric Phulkas</t>
        </is>
      </c>
      <c r="E51" s="11" t="inlineStr">
        <is>
          <t>Vegetable Poha (160g cooked) tempered with mustard &amp; roasted peanuts (15g) + 1 Boiled Egg [330 kcal, 13g P, 44g C, 11g F, ₹28]</t>
        </is>
      </c>
      <c r="F51" s="11" t="inlineStr">
        <is>
          <t>Vegetable Poha (180g) + 1 glass warm toned milk (150ml) [310 kcal, 11g P, 48g C, 8g F, ₹24]</t>
        </is>
      </c>
      <c r="G51" s="11" t="inlineStr">
        <is>
          <t>Rolled Oats cooked in milk (40g oats + 180ml toned milk) with half diced apple [290 kcal, 12g P, 45g C, 6g F, ₹30]</t>
        </is>
      </c>
      <c r="H51" s="11" t="inlineStr">
        <is>
          <t>Spiced Majjige / Buttermilk (220ml) with grated ginger &amp; curry leaves [45 kcal, 3g P, 4g C, 1.5g F, ₹15] | Alt: 1 Crisp Guava or Apple (130g) with pinch of rock salt [75 kcal, 1.5g P, 18g C, 0.5g F, ₹20]</t>
        </is>
      </c>
      <c r="I51" s="11" t="inlineStr">
        <is>
          <t>2 Soft Phulkas (80g) + 2 Boiled Eggs in Onion-Tomato Gravy (120g gravy) + Ridge Gourd (Heerekayi) Palya (140g) [450 kcal, 22g P, 48g C, 17g F, ₹45]</t>
        </is>
      </c>
      <c r="J51" s="11" t="inlineStr">
        <is>
          <t>Sona Masoori Rice (150g) + Fish Curry (120g rohu/pomfret in light coconut gravy) + Beans Poriyal (120g) [460 kcal, 32g P, 46g C, 13g F, ₹80]</t>
        </is>
      </c>
      <c r="K51" s="11" t="inlineStr">
        <is>
          <t>Cooked Rice (150g) + Mixed Vegetable Sambar (180g) + Pan-seared Tofu or Paneer (80g) + Cucumber Slices [465 kcal, 21g P, 52g C, 17g F, ₹55]</t>
        </is>
      </c>
      <c r="L51" s="11" t="inlineStr">
        <is>
          <t>Boiled Sweet Corn (120g) with lemon squeeze &amp; chaat masala [120 kcal, 4g P, 24g C, 1.5g F, ₹20] | Alt: Roasted Kadale / Chana (30g) + Warm Elaichi Green Tea [125 kcal, 6g P, 18g C, 2.5g F, ₹15]</t>
        </is>
      </c>
      <c r="M51" s="11" t="inlineStr">
        <is>
          <t>2 Soft Phulkas (75g) + Fresh Paneer Bhurji (90g paneer, capsicum, tomato) + Warm Tomato Rasam (150ml) [445 kcal, 21g P, 44g C, 19g F, ₹60]</t>
        </is>
      </c>
      <c r="N51" s="11" t="inlineStr">
        <is>
          <t>2 Ragi Rotis (130g) + Chicken Curry (90g cooked meat) + Onion Cucumber Raita (80g) [430 kcal, 30g P, 46g C, 11g F, ₹70]</t>
        </is>
      </c>
      <c r="O51" s="11" t="inlineStr">
        <is>
          <t>Moong Dal Vegetable Dalia Khichdi (220g) + Fresh Curd (100g) [390 kcal, 16g P, 54g C, 9g F, ₹35]</t>
        </is>
      </c>
      <c r="P51" s="11" t="inlineStr">
        <is>
          <t>Optional Pre: 2 Medjool dates [80 kcal] • Post: 1 boiled egg white or 100g warm milk [55 kcal, 4g P]</t>
        </is>
      </c>
      <c r="Q51" s="12" t="n">
        <v>1390</v>
      </c>
      <c r="R51" s="12" t="n">
        <v>63</v>
      </c>
      <c r="S51" s="12" t="n">
        <v>164</v>
      </c>
      <c r="T51" s="12" t="n">
        <v>50</v>
      </c>
      <c r="U51" s="12" t="n">
        <v>168</v>
      </c>
      <c r="V51" s="11" t="inlineStr">
        <is>
          <t>Rinse thick poha in colander, drain well. Sauté with onion, curry leaves, carrots &amp; roasted peanuts. Prick boiled eggs gently before simmering in gravy to absorb rich flavours.</t>
        </is>
      </c>
    </row>
    <row r="52" ht="36" customHeight="1">
      <c r="A52" s="7" t="inlineStr">
        <is>
          <t>2026-12-13</t>
        </is>
      </c>
      <c r="B52" s="7" t="n">
        <v>51</v>
      </c>
      <c r="C52" s="7" t="inlineStr">
        <is>
          <t>Sunday</t>
        </is>
      </c>
      <c r="D52" s="8" t="inlineStr">
        <is>
          <t>Bengaluru Rava Upma &amp; Fresh Coastal Home Curry</t>
        </is>
      </c>
      <c r="E52" s="8" t="inlineStr">
        <is>
          <t>Bengaluru Vegetable Rava Upma (180g cooked) with roasted peanuts + 1 Boiled Egg [340 kcal, 14g P, 44g C, 12g F, ₹26]</t>
        </is>
      </c>
      <c r="F52" s="8" t="inlineStr">
        <is>
          <t>Vegetable Upma (180g) + 1 glass warm toned milk (150ml) [320 kcal, 11g P, 48g C, 9g F, ₹24]</t>
        </is>
      </c>
      <c r="G52" s="8" t="inlineStr">
        <is>
          <t>Steamed Idlis (3 pcs) with Mint Toor Dal Chutney (40g) + 1 Boiled Egg [320 kcal, 15g P, 42g C, 9g F, ₹28]</t>
        </is>
      </c>
      <c r="H52" s="8" t="inlineStr">
        <is>
          <t>Fresh Fruit Bowl (150g watermelon or papaya) + 6 soaked almonds [110 kcal, 3g P, 22g C, 3g F, ₹30] | Alt: Tender Coconut Water (220ml) [45 kcal, 1g P, 10g C, 0g F, ₹35]</t>
        </is>
      </c>
      <c r="I52" s="8" t="inlineStr">
        <is>
          <t>Sona Masoori Rice (150g cooked) + Bengaluru Fish Curry (120g fresh fish in light gravy) + Cabbage &amp; Pea Poriyal (130g) + Rasam [450 kcal, 33g P, 46g C, 13g F, ₹80]</t>
        </is>
      </c>
      <c r="J52" s="8" t="inlineStr">
        <is>
          <t>2 Phulkas (80g) + Chicken Curry (95g cooked meat) + Cucumber Carrot Salad (100g) [440 kcal, 31g P, 44g C, 13g F, ₹65]</t>
        </is>
      </c>
      <c r="K52" s="8" t="inlineStr">
        <is>
          <t>Rice (150g) + Thick Chana Dal (180g) + Beans Palya (130g) + Fresh Curd (100g) [470 kcal, 22g P, 56g C, 15g F, ₹45]</t>
        </is>
      </c>
      <c r="L52" s="8" t="inlineStr">
        <is>
          <t>Roasted Puri Kadale / Chana (30g) + Warm Ginger Tea (100ml low-fat milk) [140 kcal, 6g P, 20g C, 3.5g F, ₹18] | Alt: Spiced Boiled Moong Sprouts (80g) with lime &amp; salt [110 kcal, 7g P, 18g C, 1g F, ₹15]</t>
        </is>
      </c>
      <c r="M52" s="8" t="inlineStr">
        <is>
          <t>2 Soft Phulkas (75g) + Soya Chunks &amp; Green Pea Curry (45g dry soya + 50g peas) + Fresh Curd (80g) [420 kcal, 29g P, 48g C, 9g F, ₹40]</t>
        </is>
      </c>
      <c r="N52" s="8" t="inlineStr">
        <is>
          <t>2 Phulkas (75g) + 2 Boiled Eggs in Homestyle Curry (100g) + Sliced Cucumber [410 kcal, 21g P, 42g C, 15g F, ₹38]</t>
        </is>
      </c>
      <c r="O52" s="8" t="inlineStr">
        <is>
          <t>2 Ragi Rotis (120g) + Mixed Vegetable Sambar (180ml) + Sautéed Palak (100g) [380 kcal, 14g P, 54g C, 8g F, ₹30]</t>
        </is>
      </c>
      <c r="P52" s="8" t="inlineStr">
        <is>
          <t>Optional Pre: 1 cup tender coconut water [45 kcal] • Post: 1 glass warm milk (150ml) [85 kcal, 5g P]</t>
        </is>
      </c>
      <c r="Q52" s="9" t="n">
        <v>1460</v>
      </c>
      <c r="R52" s="9" t="n">
        <v>85</v>
      </c>
      <c r="S52" s="9" t="n">
        <v>180</v>
      </c>
      <c r="T52" s="9" t="n">
        <v>40.5</v>
      </c>
      <c r="U52" s="9" t="n">
        <v>194</v>
      </c>
      <c r="V52" s="8" t="inlineStr">
        <is>
          <t>Dry roast semolina lightly. Tempered with mustard seeds, chana dal, green chillies &amp; mixed veggies. Use fresh local fish cuts (rohu, pomfret, or seer fish). Simmer gently for 8 mins.</t>
        </is>
      </c>
    </row>
    <row r="53" ht="36" customHeight="1">
      <c r="A53" s="10" t="inlineStr">
        <is>
          <t>2026-12-14</t>
        </is>
      </c>
      <c r="B53" s="10" t="n">
        <v>52</v>
      </c>
      <c r="C53" s="10" t="inlineStr">
        <is>
          <t>Monday</t>
        </is>
      </c>
      <c r="D53" s="11" t="inlineStr">
        <is>
          <t>Nourishing Rolled Oats &amp; Tender Chicken Palya</t>
        </is>
      </c>
      <c r="E53" s="11" t="inlineStr">
        <is>
          <t>Warm Rolled Oats (40g dry + 180ml toned milk) + 1 Boiled Egg + Apple slices (50g) [345 kcal, 18g P, 46g C, 10g F, ₹35]</t>
        </is>
      </c>
      <c r="F53" s="11" t="inlineStr">
        <is>
          <t>Vegetable Poha (160g cooked) + 2 Boiled Eggs [360 kcal, 18g P, 42g C, 14g F, ₹32]</t>
        </is>
      </c>
      <c r="G53" s="11" t="inlineStr">
        <is>
          <t>2 Plain Dosas (120g) + Toor Dal Sambar (150ml) + 1 cup warm sprouted moong [330 kcal, 14g P, 48g C, 7g F, ₹25]</t>
        </is>
      </c>
      <c r="H53" s="11" t="inlineStr">
        <is>
          <t>Tender Coconut Water (220ml) + 5 Soaked Almonds [95 kcal, 3g P, 12g C, 4g F, ₹40] | Alt: Fresh Spiced Buttermilk (220ml) with coriander &amp; rock salt [45 kcal, 3g P, 4g C, 1.5g F, ₹15]</t>
        </is>
      </c>
      <c r="I53" s="11" t="inlineStr">
        <is>
          <t>Sona Masoori Rice (150g cooked) + Tender Chicken Curry (130g raw / 95g meat) + Palak (Spinach) Palya (140g) + Rasam [470 kcal, 35g P, 46g C, 13g F, ₹75]</t>
        </is>
      </c>
      <c r="J53" s="11" t="inlineStr">
        <is>
          <t>2 Soft Phulkas (80g) + Fresh Paneer Curry (85g paneer in light gravy) + French Beans Palya (120g) [450 kcal, 21g P, 44g C, 19g F, ₹55]</t>
        </is>
      </c>
      <c r="K53" s="11" t="inlineStr">
        <is>
          <t>Rice (150g) + Toor Dal Tadka (180g) + 2 Boiled Eggs + Beetroot Poriyal (120g) [460 kcal, 25g P, 52g C, 14g F, ₹42]</t>
        </is>
      </c>
      <c r="L53" s="11" t="inlineStr">
        <is>
          <t>Roasted Makhana (30g) + Hot Green Tea with lemon [130 kcal, 3g P, 21g C, 3.5g F, ₹25] | Alt: Boiled Chickpeas Sundal (70g) with mustard &amp; curry leaves [125 kcal, 6g P, 20g C, 2.5g F, ₹18]</t>
        </is>
      </c>
      <c r="M53" s="11" t="inlineStr">
        <is>
          <t>2 Soft Phulkas (75g) + 2 Boiled Eggs in Tomato Onion Curry + Cucumber Salad (100g) [415 kcal, 21g P, 42g C, 15g F, ₹38]</t>
        </is>
      </c>
      <c r="N53" s="11" t="inlineStr">
        <is>
          <t>2 Phulkas (75g) + Grilled Chicken Strips (100g cooked) + Mixed Sautéed Capsicum &amp; Onions [425 kcal, 32g P, 40g C, 11g F, ₹65]</t>
        </is>
      </c>
      <c r="O53" s="11" t="inlineStr">
        <is>
          <t>Warm Moong Dal Vegetable Khichdi (220g) + Fresh Curd (100g) [380 kcal, 15g P, 56g C, 8g F, ₹35]</t>
        </is>
      </c>
      <c r="P53" s="11" t="inlineStr">
        <is>
          <t>Optional Pre: 1 small banana [70 kcal] • Post: 1 cup warm turmeric milk [90 kcal, 6g P]</t>
        </is>
      </c>
      <c r="Q53" s="12" t="n">
        <v>1455</v>
      </c>
      <c r="R53" s="12" t="n">
        <v>80</v>
      </c>
      <c r="S53" s="12" t="n">
        <v>167</v>
      </c>
      <c r="T53" s="12" t="n">
        <v>45.5</v>
      </c>
      <c r="U53" s="12" t="n">
        <v>213</v>
      </c>
      <c r="V53" s="11" t="inlineStr">
        <is>
          <t>Cook oats in milk for 4 mins on medium flame. Stir in pinch of cinnamon powder. Weigh raw boneless chicken (130g). Steam spinach lightly with mustard tempering.</t>
        </is>
      </c>
    </row>
    <row r="54" ht="36" customHeight="1">
      <c r="A54" s="7" t="inlineStr">
        <is>
          <t>2026-12-15</t>
        </is>
      </c>
      <c r="B54" s="7" t="n">
        <v>53</v>
      </c>
      <c r="C54" s="7" t="inlineStr">
        <is>
          <t>Tuesday</t>
        </is>
      </c>
      <c r="D54" s="8" t="inlineStr">
        <is>
          <t>Calcium-Rich Ragi Dosa &amp; Fresh Country Egg Feast</t>
        </is>
      </c>
      <c r="E54" s="8" t="inlineStr">
        <is>
          <t>Ragi Dosa (2 medium, 120g) + Coconut Mint Chutney (30g) + 2 Boiled Eggs [350 kcal, 19g P, 40g C, 13g F, ₹35]</t>
        </is>
      </c>
      <c r="F54" s="8" t="inlineStr">
        <is>
          <t>Steamed Idlis (3 pcs, 110g) + Vegetable Sambar (150ml) + 1 Boiled Egg [310 kcal, 13g P, 44g C, 8g F, ₹25]</t>
        </is>
      </c>
      <c r="G54" s="8" t="inlineStr">
        <is>
          <t>Vegetable Upma (180g) + Warm Toned Milk (150ml) [320 kcal, 11g P, 48g C, 9g F, ₹22]</t>
        </is>
      </c>
      <c r="H54" s="8" t="inlineStr">
        <is>
          <t>Fresh Seasonal Fruit (1 Medium Apple or 150g Papaya) + 6 Almonds [115 kcal, 3g P, 22g C, 3.5g F, ₹30] | Alt: Tender Coconut Water (220ml) [45 kcal, 1g P, 10g C, 0g F, ₹35]</t>
        </is>
      </c>
      <c r="I54" s="8" t="inlineStr">
        <is>
          <t>2 Soft Phulkas (80g) + Homestyle Egg Curry (2 eggs) + Cabbage &amp; Carrot Poriyal (140g) + Rasam [445 kcal, 22g P, 48g C, 16g F, ₹42]</t>
        </is>
      </c>
      <c r="J54" s="8" t="inlineStr">
        <is>
          <t>Sona Masoori Rice (150g) + Bengaluru Chicken Curry (95g meat) + Beans Palya (120g) [475 kcal, 34g P, 48g C, 14g F, ₹75]</t>
        </is>
      </c>
      <c r="K54" s="8" t="inlineStr">
        <is>
          <t>Rice (150g) + Thick Toor Dal Tadka (180g) + Fresh Curd (100g) + Tomato Cucumber Salad [440 kcal, 18g P, 56g C, 14g F, ₹40]</t>
        </is>
      </c>
      <c r="L54" s="8" t="inlineStr">
        <is>
          <t>Spiced Boiled Sundal / Chickpeas (80g) with lime [140 kcal, 7g P, 22g C, 3g F, ₹20] | Alt: Roasted Makhana (30g) in 1/2 tsp ghee &amp; rock salt [130 kcal, 3g P, 21g C, 3.5g F, ₹25]</t>
        </is>
      </c>
      <c r="M54" s="8" t="inlineStr">
        <is>
          <t>2 Soft Phulkas (75g) + Home Chicken Curry (100g meat) + Cucumber Salad (100g) [420 kcal, 31g P, 42g C, 12g F, ₹65]</t>
        </is>
      </c>
      <c r="N54" s="8" t="inlineStr">
        <is>
          <t>2 Phulkas (75g) + Fresh Paneer Bhurji (90g paneer, capsicum, onion) + Clear Soup [440 kcal, 20g P, 42g C, 20g F, ₹55]</t>
        </is>
      </c>
      <c r="O54" s="8" t="inlineStr">
        <is>
          <t>Rice-Moong Dal Khichdi (220g) + Curd (100g) + Lauki Sabzi (120g) [385 kcal, 14g P, 58g C, 8.5g F, ₹35]</t>
        </is>
      </c>
      <c r="P54" s="8" t="inlineStr">
        <is>
          <t>Optional Pre: 1 cup tender coconut water [45 kcal] • Post: 1 glass warm milk (150ml) [85 kcal, 5g P]</t>
        </is>
      </c>
      <c r="Q54" s="9" t="n">
        <v>1470</v>
      </c>
      <c r="R54" s="9" t="n">
        <v>82</v>
      </c>
      <c r="S54" s="9" t="n">
        <v>174</v>
      </c>
      <c r="T54" s="9" t="n">
        <v>47.5</v>
      </c>
      <c r="U54" s="9" t="n">
        <v>192</v>
      </c>
      <c r="V54" s="8" t="inlineStr">
        <is>
          <t>Mix ragi flour with equal water, pinch of salt, cumin seeds &amp; chopped onion. Pour on medium hot tawa. Cook vegetables in minimum oil with mustard seeds, curry leaves &amp; grated fresh coconut.</t>
        </is>
      </c>
    </row>
    <row r="55" ht="36" customHeight="1">
      <c r="A55" s="10" t="inlineStr">
        <is>
          <t>2026-12-16</t>
        </is>
      </c>
      <c r="B55" s="10" t="n">
        <v>54</v>
      </c>
      <c r="C55" s="10" t="inlineStr">
        <is>
          <t>Wednesday</t>
        </is>
      </c>
      <c r="D55" s="11" t="inlineStr">
        <is>
          <t>High-Fiber Soya Chunks &amp; Comfort Idli Sambar</t>
        </is>
      </c>
      <c r="E55" s="11" t="inlineStr">
        <is>
          <t>Steamed Idlis (3 pcs, 110g) + Vegetable Sambar (150ml) + 2 Boiled Eggs [340 kcal, 19g P, 38g C, 12g F, ₹35]</t>
        </is>
      </c>
      <c r="F55" s="11" t="inlineStr">
        <is>
          <t>Vegetable Poha (160g cooked) + 1 Boiled Egg [310 kcal, 12g P, 44g C, 9g F, ₹26]</t>
        </is>
      </c>
      <c r="G55" s="11" t="inlineStr">
        <is>
          <t>Rolled Oats cooked in toned milk (40g + 180ml milk) with 1/2 apple [290 kcal, 12g P, 45g C, 6g F, ₹30]</t>
        </is>
      </c>
      <c r="H55" s="11" t="inlineStr">
        <is>
          <t>Spiced Buttermilk / Majjige (220ml) with curry leaves &amp; ginger [45 kcal, 3g P, 4g C, 1.5g F, ₹15] | Alt: Fresh Papaya slices (150g) + 5 almonds [110 kcal, 3g P, 22g C, 3g F, ₹28]</t>
        </is>
      </c>
      <c r="I55" s="11" t="inlineStr">
        <is>
          <t>Sona Masoori Rice (150g cooked) + Soya Chunks Curry (45g dry soya chunks cooked in onion-tomato gravy) + French Beans Palya (130g) + Rasam [460 kcal, 31g P, 56g C, 9g F, ₹42]</t>
        </is>
      </c>
      <c r="J55" s="11" t="inlineStr">
        <is>
          <t>2 Phulkas (80g) + Chicken Curry (95g meat) + Cabbage Poriyal (120g) [440 kcal, 31g P, 44g C, 13g F, ₹65]</t>
        </is>
      </c>
      <c r="K55" s="11" t="inlineStr">
        <is>
          <t>Rice (150g) + Thick Toor Dal (180g) + 2 Boiled Eggs + Ridge Gourd Palya (120g) [455 kcal, 24g P, 52g C, 14g F, ₹40]</t>
        </is>
      </c>
      <c r="L55" s="11" t="inlineStr">
        <is>
          <t>Roasted Kadale / Chana (30g) + Hot Elaichi Tea (100ml milk) [140 kcal, 6g P, 20g C, 3.5g F, ₹18] | Alt: Roasted Makhana (30g) in ghee &amp; rock salt [130 kcal, 3g P, 21g C, 3.5g F, ₹25]</t>
        </is>
      </c>
      <c r="M55" s="11" t="inlineStr">
        <is>
          <t>2 Soft Phulkas (75g) + 2 Boiled Eggs in Mild Curry + Cucumber Carrot Salad (120g) [415 kcal, 21g P, 42g C, 15g F, ₹38]</t>
        </is>
      </c>
      <c r="N55" s="11" t="inlineStr">
        <is>
          <t>2 Phulkas (75g) + Paneer Bhurji (90g paneer, capsicum, tomato) + Warm Soup [445 kcal, 20g P, 44g C, 19g F, ₹58]</t>
        </is>
      </c>
      <c r="O55" s="11" t="inlineStr">
        <is>
          <t>2 Ragi Rotis (120g) + Chicken Curry (90g meat) + Cucumber Slices [425 kcal, 30g P, 46g C, 11g F, ₹68]</t>
        </is>
      </c>
      <c r="P55" s="11" t="inlineStr">
        <is>
          <t>Optional Pre: 1 small banana [70 kcal] • Post: 1 glass warm milk [90 kcal, 6g P]</t>
        </is>
      </c>
      <c r="Q55" s="12" t="n">
        <v>1400</v>
      </c>
      <c r="R55" s="12" t="n">
        <v>80</v>
      </c>
      <c r="S55" s="12" t="n">
        <v>160</v>
      </c>
      <c r="T55" s="12" t="n">
        <v>41</v>
      </c>
      <c r="U55" s="12" t="n">
        <v>151</v>
      </c>
      <c r="V55" s="11" t="inlineStr">
        <is>
          <t>Dip idlis in piping hot sambar. Eggs provide complete amino acid profile. Soak soya chunks in warm water for 15 mins. Squeeze out bitter water completely before cooking.</t>
        </is>
      </c>
    </row>
    <row r="56" ht="36" customHeight="1">
      <c r="A56" s="7" t="inlineStr">
        <is>
          <t>2026-12-17</t>
        </is>
      </c>
      <c r="B56" s="7" t="n">
        <v>55</v>
      </c>
      <c r="C56" s="7" t="inlineStr">
        <is>
          <t>Thursday</t>
        </is>
      </c>
      <c r="D56" s="8" t="inlineStr">
        <is>
          <t>Comfort Steamed Staples &amp; Bengaluru Chicken Curry</t>
        </is>
      </c>
      <c r="E56" s="8" t="inlineStr">
        <is>
          <t>Steamed Idlis (3 pcs, 110g) + Veg Sambar (150ml) + 2 Boiled Eggs (100g) [340 kcal, 19g P, 38g C, 12g F, ₹35]</t>
        </is>
      </c>
      <c r="F56" s="8" t="inlineStr">
        <is>
          <t>Steamed Idlis (3 pcs) + Veg Sambar + 1 cup warm sprouted moong salad (100g) [310 kcal, 13g P, 46g C, 5g F, ₹25]</t>
        </is>
      </c>
      <c r="G56" s="8" t="inlineStr">
        <is>
          <t>Ragi Dosa (2 medium, 120g) + Mint Chutney (30g) + 1 Boiled Egg [320 kcal, 14g P, 42g C, 11g F, ₹28]</t>
        </is>
      </c>
      <c r="H56" s="8" t="inlineStr">
        <is>
          <t>Tender Coconut Water (220ml) + Handful Roasted Chana (25g) [130 kcal, 5g P, 22g C, 2g F, ₹40] | Alt: Fresh Papaya slices (150g) + 5 soaked almonds [110 kcal, 3g P, 22g C, 3g F, ₹30]</t>
        </is>
      </c>
      <c r="I56" s="8" t="inlineStr">
        <is>
          <t>Sona Masoori Rice (150g cooked / 55g raw) + Bengaluru Chicken Curry (130g raw / 95g cooked meat) + French Beans Palya (130g) + Pepper Rasam [475 kcal, 34g P, 48g C, 14g F, ₹75]</t>
        </is>
      </c>
      <c r="J56" s="8" t="inlineStr">
        <is>
          <t>2 Soft Wheat Phulkas (80g) + Homestyle Egg Curry (2 eggs in onion-tomato gravy) + Cabbage Poriyal (140g) [440 kcal, 21g P, 48g C, 16g F, ₹40]</t>
        </is>
      </c>
      <c r="K56" s="8" t="inlineStr">
        <is>
          <t>Sona Masoori Rice (150g) + Thick Toor Dal Tadka (180g) + Paneer Palya (80g paneer) + Fresh Curd (100g) [480 kcal, 23g P, 54g C, 18g F, ₹55]</t>
        </is>
      </c>
      <c r="L56" s="8" t="inlineStr">
        <is>
          <t>Spiced Boiled Sundal / Chickpeas (80g) with mustard tempering &amp; lemon [140 kcal, 7g P, 22g C, 3g F, ₹20] | Alt: Roasted Makhana (30g) in 1/2 tsp ghee &amp; rock salt [130 kcal, 3g P, 21g C, 3.5g F, ₹25]</t>
        </is>
      </c>
      <c r="M56" s="8" t="inlineStr">
        <is>
          <t>2 Soft Whole Wheat Phulkas (75g) + Grilled/Pan Chicken Curry (100g meat) + Cucumber Tomato Salad (120g) [420 kcal, 31g P, 42g C, 12g F, ₹65]</t>
        </is>
      </c>
      <c r="N56" s="8" t="inlineStr">
        <is>
          <t>2 Phulkas (75g) + Fresh Paneer Bhurji (90g paneer with capsicum &amp; onion) + Tomato Clear Soup [440 kcal, 20g P, 42g C, 20g F, ₹55]</t>
        </is>
      </c>
      <c r="O56" s="8" t="inlineStr">
        <is>
          <t>Warm Rice-Moong Dal Khichdi (220g) + Fresh Curd (100g) + Steamed Beetroot Poriyal (100g) [380 kcal, 14g P, 58g C, 8g F, ₹35]</t>
        </is>
      </c>
      <c r="P56" s="8" t="inlineStr">
        <is>
          <t>Optional Pre: 1 small banana (80g) [70 kcal] • Post: 1 glass warm toned milk with turmeric (180ml) [95 kcal, 6g P]</t>
        </is>
      </c>
      <c r="Q56" s="9" t="n">
        <v>1505</v>
      </c>
      <c r="R56" s="9" t="n">
        <v>96</v>
      </c>
      <c r="S56" s="9" t="n">
        <v>172</v>
      </c>
      <c r="T56" s="9" t="n">
        <v>43</v>
      </c>
      <c r="U56" s="9" t="n">
        <v>235</v>
      </c>
      <c r="V56" s="8" t="inlineStr">
        <is>
          <t>Steam idlis in idli cooker for 10-12 mins. Weigh 110g cooked on kitchen scale. Zero plate on scale, measure 150g warm rice, then add 95g cooked chicken meat without bones.</t>
        </is>
      </c>
    </row>
    <row r="57" ht="36" customHeight="1">
      <c r="A57" s="10" t="inlineStr">
        <is>
          <t>2026-12-18</t>
        </is>
      </c>
      <c r="B57" s="10" t="n">
        <v>56</v>
      </c>
      <c r="C57" s="10" t="inlineStr">
        <is>
          <t>Friday</t>
        </is>
      </c>
      <c r="D57" s="11" t="inlineStr">
        <is>
          <t>Iron-Rich Poha, Egg Curry &amp; Golden Turmeric Phulkas</t>
        </is>
      </c>
      <c r="E57" s="11" t="inlineStr">
        <is>
          <t>Vegetable Poha (160g cooked) tempered with mustard &amp; roasted peanuts (15g) + 1 Boiled Egg [330 kcal, 13g P, 44g C, 11g F, ₹28]</t>
        </is>
      </c>
      <c r="F57" s="11" t="inlineStr">
        <is>
          <t>Vegetable Poha (180g) + 1 glass warm toned milk (150ml) [310 kcal, 11g P, 48g C, 8g F, ₹24]</t>
        </is>
      </c>
      <c r="G57" s="11" t="inlineStr">
        <is>
          <t>Rolled Oats cooked in milk (40g oats + 180ml toned milk) with half diced apple [290 kcal, 12g P, 45g C, 6g F, ₹30]</t>
        </is>
      </c>
      <c r="H57" s="11" t="inlineStr">
        <is>
          <t>Spiced Majjige / Buttermilk (220ml) with grated ginger &amp; curry leaves [45 kcal, 3g P, 4g C, 1.5g F, ₹15] | Alt: 1 Crisp Guava or Apple (130g) with pinch of rock salt [75 kcal, 1.5g P, 18g C, 0.5g F, ₹20]</t>
        </is>
      </c>
      <c r="I57" s="11" t="inlineStr">
        <is>
          <t>2 Soft Phulkas (80g) + 2 Boiled Eggs in Onion-Tomato Gravy (120g gravy) + Ridge Gourd (Heerekayi) Palya (140g) [450 kcal, 22g P, 48g C, 17g F, ₹45]</t>
        </is>
      </c>
      <c r="J57" s="11" t="inlineStr">
        <is>
          <t>Sona Masoori Rice (150g) + Fish Curry (120g rohu/pomfret in light coconut gravy) + Beans Poriyal (120g) [460 kcal, 32g P, 46g C, 13g F, ₹80]</t>
        </is>
      </c>
      <c r="K57" s="11" t="inlineStr">
        <is>
          <t>Cooked Rice (150g) + Mixed Vegetable Sambar (180g) + Pan-seared Tofu or Paneer (80g) + Cucumber Slices [465 kcal, 21g P, 52g C, 17g F, ₹55]</t>
        </is>
      </c>
      <c r="L57" s="11" t="inlineStr">
        <is>
          <t>Boiled Sweet Corn (120g) with lemon squeeze &amp; chaat masala [120 kcal, 4g P, 24g C, 1.5g F, ₹20] | Alt: Roasted Kadale / Chana (30g) + Warm Elaichi Green Tea [125 kcal, 6g P, 18g C, 2.5g F, ₹15]</t>
        </is>
      </c>
      <c r="M57" s="11" t="inlineStr">
        <is>
          <t>2 Soft Phulkas (75g) + Fresh Paneer Bhurji (90g paneer, capsicum, tomato) + Warm Tomato Rasam (150ml) [445 kcal, 21g P, 44g C, 19g F, ₹60]</t>
        </is>
      </c>
      <c r="N57" s="11" t="inlineStr">
        <is>
          <t>2 Ragi Rotis (130g) + Chicken Curry (90g cooked meat) + Onion Cucumber Raita (80g) [430 kcal, 30g P, 46g C, 11g F, ₹70]</t>
        </is>
      </c>
      <c r="O57" s="11" t="inlineStr">
        <is>
          <t>Moong Dal Vegetable Dalia Khichdi (220g) + Fresh Curd (100g) [390 kcal, 16g P, 54g C, 9g F, ₹35]</t>
        </is>
      </c>
      <c r="P57" s="11" t="inlineStr">
        <is>
          <t>Optional Pre: 2 Medjool dates [80 kcal] • Post: 1 boiled egg white or 100g warm milk [55 kcal, 4g P]</t>
        </is>
      </c>
      <c r="Q57" s="12" t="n">
        <v>1390</v>
      </c>
      <c r="R57" s="12" t="n">
        <v>63</v>
      </c>
      <c r="S57" s="12" t="n">
        <v>164</v>
      </c>
      <c r="T57" s="12" t="n">
        <v>50</v>
      </c>
      <c r="U57" s="12" t="n">
        <v>168</v>
      </c>
      <c r="V57" s="11" t="inlineStr">
        <is>
          <t>Rinse thick poha in colander, drain well. Sauté with onion, curry leaves, carrots &amp; roasted peanuts. Prick boiled eggs gently before simmering in gravy to absorb rich flavours.</t>
        </is>
      </c>
    </row>
    <row r="58" ht="36" customHeight="1">
      <c r="A58" s="7" t="inlineStr">
        <is>
          <t>2026-12-19</t>
        </is>
      </c>
      <c r="B58" s="7" t="n">
        <v>57</v>
      </c>
      <c r="C58" s="7" t="inlineStr">
        <is>
          <t>Saturday</t>
        </is>
      </c>
      <c r="D58" s="8" t="inlineStr">
        <is>
          <t>Bengaluru Rava Upma &amp; Fresh Coastal Home Curry</t>
        </is>
      </c>
      <c r="E58" s="8" t="inlineStr">
        <is>
          <t>Bengaluru Vegetable Rava Upma (180g cooked) with roasted peanuts + 1 Boiled Egg [340 kcal, 14g P, 44g C, 12g F, ₹26]</t>
        </is>
      </c>
      <c r="F58" s="8" t="inlineStr">
        <is>
          <t>Vegetable Upma (180g) + 1 glass warm toned milk (150ml) [320 kcal, 11g P, 48g C, 9g F, ₹24]</t>
        </is>
      </c>
      <c r="G58" s="8" t="inlineStr">
        <is>
          <t>Steamed Idlis (3 pcs) with Mint Toor Dal Chutney (40g) + 1 Boiled Egg [320 kcal, 15g P, 42g C, 9g F, ₹28]</t>
        </is>
      </c>
      <c r="H58" s="8" t="inlineStr">
        <is>
          <t>Fresh Fruit Bowl (150g watermelon or papaya) + 6 soaked almonds [110 kcal, 3g P, 22g C, 3g F, ₹30] | Alt: Tender Coconut Water (220ml) [45 kcal, 1g P, 10g C, 0g F, ₹35]</t>
        </is>
      </c>
      <c r="I58" s="8" t="inlineStr">
        <is>
          <t>Sona Masoori Rice (150g cooked) + Bengaluru Fish Curry (120g fresh fish in light gravy) + Cabbage &amp; Pea Poriyal (130g) + Rasam [450 kcal, 33g P, 46g C, 13g F, ₹80]</t>
        </is>
      </c>
      <c r="J58" s="8" t="inlineStr">
        <is>
          <t>2 Phulkas (80g) + Chicken Curry (95g cooked meat) + Cucumber Carrot Salad (100g) [440 kcal, 31g P, 44g C, 13g F, ₹65]</t>
        </is>
      </c>
      <c r="K58" s="8" t="inlineStr">
        <is>
          <t>Rice (150g) + Thick Chana Dal (180g) + Beans Palya (130g) + Fresh Curd (100g) [470 kcal, 22g P, 56g C, 15g F, ₹45]</t>
        </is>
      </c>
      <c r="L58" s="8" t="inlineStr">
        <is>
          <t>Roasted Puri Kadale / Chana (30g) + Warm Ginger Tea (100ml low-fat milk) [140 kcal, 6g P, 20g C, 3.5g F, ₹18] | Alt: Spiced Boiled Moong Sprouts (80g) with lime &amp; salt [110 kcal, 7g P, 18g C, 1g F, ₹15]</t>
        </is>
      </c>
      <c r="M58" s="8" t="inlineStr">
        <is>
          <t>2 Soft Phulkas (75g) + Soya Chunks &amp; Green Pea Curry (45g dry soya + 50g peas) + Fresh Curd (80g) [420 kcal, 29g P, 48g C, 9g F, ₹40]</t>
        </is>
      </c>
      <c r="N58" s="8" t="inlineStr">
        <is>
          <t>2 Phulkas (75g) + 2 Boiled Eggs in Homestyle Curry (100g) + Sliced Cucumber [410 kcal, 21g P, 42g C, 15g F, ₹38]</t>
        </is>
      </c>
      <c r="O58" s="8" t="inlineStr">
        <is>
          <t>2 Ragi Rotis (120g) + Mixed Vegetable Sambar (180ml) + Sautéed Palak (100g) [380 kcal, 14g P, 54g C, 8g F, ₹30]</t>
        </is>
      </c>
      <c r="P58" s="8" t="inlineStr">
        <is>
          <t>Optional Pre: 1 cup tender coconut water [45 kcal] • Post: 1 glass warm milk (150ml) [85 kcal, 5g P]</t>
        </is>
      </c>
      <c r="Q58" s="9" t="n">
        <v>1460</v>
      </c>
      <c r="R58" s="9" t="n">
        <v>85</v>
      </c>
      <c r="S58" s="9" t="n">
        <v>180</v>
      </c>
      <c r="T58" s="9" t="n">
        <v>40.5</v>
      </c>
      <c r="U58" s="9" t="n">
        <v>194</v>
      </c>
      <c r="V58" s="8" t="inlineStr">
        <is>
          <t>Dry roast semolina lightly. Tempered with mustard seeds, chana dal, green chillies &amp; mixed veggies. Use fresh local fish cuts (rohu, pomfret, or seer fish). Simmer gently for 8 mins.</t>
        </is>
      </c>
    </row>
    <row r="59" ht="36" customHeight="1">
      <c r="A59" s="10" t="inlineStr">
        <is>
          <t>2026-12-20</t>
        </is>
      </c>
      <c r="B59" s="10" t="n">
        <v>58</v>
      </c>
      <c r="C59" s="10" t="inlineStr">
        <is>
          <t>Sunday</t>
        </is>
      </c>
      <c r="D59" s="11" t="inlineStr">
        <is>
          <t>Nourishing Rolled Oats &amp; Tender Chicken Palya</t>
        </is>
      </c>
      <c r="E59" s="11" t="inlineStr">
        <is>
          <t>Warm Rolled Oats (40g dry + 180ml toned milk) + 1 Boiled Egg + Apple slices (50g) [345 kcal, 18g P, 46g C, 10g F, ₹35]</t>
        </is>
      </c>
      <c r="F59" s="11" t="inlineStr">
        <is>
          <t>Vegetable Poha (160g cooked) + 2 Boiled Eggs [360 kcal, 18g P, 42g C, 14g F, ₹32]</t>
        </is>
      </c>
      <c r="G59" s="11" t="inlineStr">
        <is>
          <t>2 Plain Dosas (120g) + Toor Dal Sambar (150ml) + 1 cup warm sprouted moong [330 kcal, 14g P, 48g C, 7g F, ₹25]</t>
        </is>
      </c>
      <c r="H59" s="11" t="inlineStr">
        <is>
          <t>Tender Coconut Water (220ml) + 5 Soaked Almonds [95 kcal, 3g P, 12g C, 4g F, ₹40] | Alt: Fresh Spiced Buttermilk (220ml) with coriander &amp; rock salt [45 kcal, 3g P, 4g C, 1.5g F, ₹15]</t>
        </is>
      </c>
      <c r="I59" s="11" t="inlineStr">
        <is>
          <t>Sona Masoori Rice (150g cooked) + Tender Chicken Curry (130g raw / 95g meat) + Palak (Spinach) Palya (140g) + Rasam [470 kcal, 35g P, 46g C, 13g F, ₹75]</t>
        </is>
      </c>
      <c r="J59" s="11" t="inlineStr">
        <is>
          <t>2 Soft Phulkas (80g) + Fresh Paneer Curry (85g paneer in light gravy) + French Beans Palya (120g) [450 kcal, 21g P, 44g C, 19g F, ₹55]</t>
        </is>
      </c>
      <c r="K59" s="11" t="inlineStr">
        <is>
          <t>Rice (150g) + Toor Dal Tadka (180g) + 2 Boiled Eggs + Beetroot Poriyal (120g) [460 kcal, 25g P, 52g C, 14g F, ₹42]</t>
        </is>
      </c>
      <c r="L59" s="11" t="inlineStr">
        <is>
          <t>Roasted Makhana (30g) + Hot Green Tea with lemon [130 kcal, 3g P, 21g C, 3.5g F, ₹25] | Alt: Boiled Chickpeas Sundal (70g) with mustard &amp; curry leaves [125 kcal, 6g P, 20g C, 2.5g F, ₹18]</t>
        </is>
      </c>
      <c r="M59" s="11" t="inlineStr">
        <is>
          <t>2 Soft Phulkas (75g) + 2 Boiled Eggs in Tomato Onion Curry + Cucumber Salad (100g) [415 kcal, 21g P, 42g C, 15g F, ₹38]</t>
        </is>
      </c>
      <c r="N59" s="11" t="inlineStr">
        <is>
          <t>2 Phulkas (75g) + Grilled Chicken Strips (100g cooked) + Mixed Sautéed Capsicum &amp; Onions [425 kcal, 32g P, 40g C, 11g F, ₹65]</t>
        </is>
      </c>
      <c r="O59" s="11" t="inlineStr">
        <is>
          <t>Warm Moong Dal Vegetable Khichdi (220g) + Fresh Curd (100g) [380 kcal, 15g P, 56g C, 8g F, ₹35]</t>
        </is>
      </c>
      <c r="P59" s="11" t="inlineStr">
        <is>
          <t>Optional Pre: 1 small banana [70 kcal] • Post: 1 cup warm turmeric milk [90 kcal, 6g P]</t>
        </is>
      </c>
      <c r="Q59" s="12" t="n">
        <v>1455</v>
      </c>
      <c r="R59" s="12" t="n">
        <v>80</v>
      </c>
      <c r="S59" s="12" t="n">
        <v>167</v>
      </c>
      <c r="T59" s="12" t="n">
        <v>45.5</v>
      </c>
      <c r="U59" s="12" t="n">
        <v>213</v>
      </c>
      <c r="V59" s="11" t="inlineStr">
        <is>
          <t>Cook oats in milk for 4 mins on medium flame. Stir in pinch of cinnamon powder. Weigh raw boneless chicken (130g). Steam spinach lightly with mustard tempering.</t>
        </is>
      </c>
    </row>
    <row r="60" ht="36" customHeight="1">
      <c r="A60" s="7" t="inlineStr">
        <is>
          <t>2026-12-21</t>
        </is>
      </c>
      <c r="B60" s="7" t="n">
        <v>59</v>
      </c>
      <c r="C60" s="7" t="inlineStr">
        <is>
          <t>Monday</t>
        </is>
      </c>
      <c r="D60" s="8" t="inlineStr">
        <is>
          <t>Calcium-Rich Ragi Dosa &amp; Fresh Country Egg Feast</t>
        </is>
      </c>
      <c r="E60" s="8" t="inlineStr">
        <is>
          <t>Ragi Dosa (2 medium, 120g) + Coconut Mint Chutney (30g) + 2 Boiled Eggs [350 kcal, 19g P, 40g C, 13g F, ₹35]</t>
        </is>
      </c>
      <c r="F60" s="8" t="inlineStr">
        <is>
          <t>Steamed Idlis (3 pcs, 110g) + Vegetable Sambar (150ml) + 1 Boiled Egg [310 kcal, 13g P, 44g C, 8g F, ₹25]</t>
        </is>
      </c>
      <c r="G60" s="8" t="inlineStr">
        <is>
          <t>Vegetable Upma (180g) + Warm Toned Milk (150ml) [320 kcal, 11g P, 48g C, 9g F, ₹22]</t>
        </is>
      </c>
      <c r="H60" s="8" t="inlineStr">
        <is>
          <t>Fresh Seasonal Fruit (1 Medium Apple or 150g Papaya) + 6 Almonds [115 kcal, 3g P, 22g C, 3.5g F, ₹30] | Alt: Tender Coconut Water (220ml) [45 kcal, 1g P, 10g C, 0g F, ₹35]</t>
        </is>
      </c>
      <c r="I60" s="8" t="inlineStr">
        <is>
          <t>2 Soft Phulkas (80g) + Homestyle Egg Curry (2 eggs) + Cabbage &amp; Carrot Poriyal (140g) + Rasam [445 kcal, 22g P, 48g C, 16g F, ₹42]</t>
        </is>
      </c>
      <c r="J60" s="8" t="inlineStr">
        <is>
          <t>Sona Masoori Rice (150g) + Bengaluru Chicken Curry (95g meat) + Beans Palya (120g) [475 kcal, 34g P, 48g C, 14g F, ₹75]</t>
        </is>
      </c>
      <c r="K60" s="8" t="inlineStr">
        <is>
          <t>Rice (150g) + Thick Toor Dal Tadka (180g) + Fresh Curd (100g) + Tomato Cucumber Salad [440 kcal, 18g P, 56g C, 14g F, ₹40]</t>
        </is>
      </c>
      <c r="L60" s="8" t="inlineStr">
        <is>
          <t>Spiced Boiled Sundal / Chickpeas (80g) with lime [140 kcal, 7g P, 22g C, 3g F, ₹20] | Alt: Roasted Makhana (30g) in 1/2 tsp ghee &amp; rock salt [130 kcal, 3g P, 21g C, 3.5g F, ₹25]</t>
        </is>
      </c>
      <c r="M60" s="8" t="inlineStr">
        <is>
          <t>2 Soft Phulkas (75g) + Home Chicken Curry (100g meat) + Cucumber Salad (100g) [420 kcal, 31g P, 42g C, 12g F, ₹65]</t>
        </is>
      </c>
      <c r="N60" s="8" t="inlineStr">
        <is>
          <t>2 Phulkas (75g) + Fresh Paneer Bhurji (90g paneer, capsicum, onion) + Clear Soup [440 kcal, 20g P, 42g C, 20g F, ₹55]</t>
        </is>
      </c>
      <c r="O60" s="8" t="inlineStr">
        <is>
          <t>Rice-Moong Dal Khichdi (220g) + Curd (100g) + Lauki Sabzi (120g) [385 kcal, 14g P, 58g C, 8.5g F, ₹35]</t>
        </is>
      </c>
      <c r="P60" s="8" t="inlineStr">
        <is>
          <t>Optional Pre: 1 cup tender coconut water [45 kcal] • Post: 1 glass warm milk (150ml) [85 kcal, 5g P]</t>
        </is>
      </c>
      <c r="Q60" s="9" t="n">
        <v>1470</v>
      </c>
      <c r="R60" s="9" t="n">
        <v>82</v>
      </c>
      <c r="S60" s="9" t="n">
        <v>174</v>
      </c>
      <c r="T60" s="9" t="n">
        <v>47.5</v>
      </c>
      <c r="U60" s="9" t="n">
        <v>192</v>
      </c>
      <c r="V60" s="8" t="inlineStr">
        <is>
          <t>Mix ragi flour with equal water, pinch of salt, cumin seeds &amp; chopped onion. Pour on medium hot tawa. Cook vegetables in minimum oil with mustard seeds, curry leaves &amp; grated fresh coconut.</t>
        </is>
      </c>
    </row>
    <row r="61" ht="36" customHeight="1">
      <c r="A61" s="10" t="inlineStr">
        <is>
          <t>2026-12-22</t>
        </is>
      </c>
      <c r="B61" s="10" t="n">
        <v>60</v>
      </c>
      <c r="C61" s="10" t="inlineStr">
        <is>
          <t>Tuesday</t>
        </is>
      </c>
      <c r="D61" s="11" t="inlineStr">
        <is>
          <t>High-Fiber Soya Chunks &amp; Comfort Idli Sambar</t>
        </is>
      </c>
      <c r="E61" s="11" t="inlineStr">
        <is>
          <t>Steamed Idlis (3 pcs, 110g) + Vegetable Sambar (150ml) + 2 Boiled Eggs [340 kcal, 19g P, 38g C, 12g F, ₹35]</t>
        </is>
      </c>
      <c r="F61" s="11" t="inlineStr">
        <is>
          <t>Vegetable Poha (160g cooked) + 1 Boiled Egg [310 kcal, 12g P, 44g C, 9g F, ₹26]</t>
        </is>
      </c>
      <c r="G61" s="11" t="inlineStr">
        <is>
          <t>Rolled Oats cooked in toned milk (40g + 180ml milk) with 1/2 apple [290 kcal, 12g P, 45g C, 6g F, ₹30]</t>
        </is>
      </c>
      <c r="H61" s="11" t="inlineStr">
        <is>
          <t>Spiced Buttermilk / Majjige (220ml) with curry leaves &amp; ginger [45 kcal, 3g P, 4g C, 1.5g F, ₹15] | Alt: Fresh Papaya slices (150g) + 5 almonds [110 kcal, 3g P, 22g C, 3g F, ₹28]</t>
        </is>
      </c>
      <c r="I61" s="11" t="inlineStr">
        <is>
          <t>Sona Masoori Rice (150g cooked) + Soya Chunks Curry (45g dry soya chunks cooked in onion-tomato gravy) + French Beans Palya (130g) + Rasam [460 kcal, 31g P, 56g C, 9g F, ₹42]</t>
        </is>
      </c>
      <c r="J61" s="11" t="inlineStr">
        <is>
          <t>2 Phulkas (80g) + Chicken Curry (95g meat) + Cabbage Poriyal (120g) [440 kcal, 31g P, 44g C, 13g F, ₹65]</t>
        </is>
      </c>
      <c r="K61" s="11" t="inlineStr">
        <is>
          <t>Rice (150g) + Thick Toor Dal (180g) + 2 Boiled Eggs + Ridge Gourd Palya (120g) [455 kcal, 24g P, 52g C, 14g F, ₹40]</t>
        </is>
      </c>
      <c r="L61" s="11" t="inlineStr">
        <is>
          <t>Roasted Kadale / Chana (30g) + Hot Elaichi Tea (100ml milk) [140 kcal, 6g P, 20g C, 3.5g F, ₹18] | Alt: Roasted Makhana (30g) in ghee &amp; rock salt [130 kcal, 3g P, 21g C, 3.5g F, ₹25]</t>
        </is>
      </c>
      <c r="M61" s="11" t="inlineStr">
        <is>
          <t>2 Soft Phulkas (75g) + 2 Boiled Eggs in Mild Curry + Cucumber Carrot Salad (120g) [415 kcal, 21g P, 42g C, 15g F, ₹38]</t>
        </is>
      </c>
      <c r="N61" s="11" t="inlineStr">
        <is>
          <t>2 Phulkas (75g) + Paneer Bhurji (90g paneer, capsicum, tomato) + Warm Soup [445 kcal, 20g P, 44g C, 19g F, ₹58]</t>
        </is>
      </c>
      <c r="O61" s="11" t="inlineStr">
        <is>
          <t>2 Ragi Rotis (120g) + Chicken Curry (90g meat) + Cucumber Slices [425 kcal, 30g P, 46g C, 11g F, ₹68]</t>
        </is>
      </c>
      <c r="P61" s="11" t="inlineStr">
        <is>
          <t>Optional Pre: 1 small banana [70 kcal] • Post: 1 glass warm milk [90 kcal, 6g P]</t>
        </is>
      </c>
      <c r="Q61" s="12" t="n">
        <v>1400</v>
      </c>
      <c r="R61" s="12" t="n">
        <v>80</v>
      </c>
      <c r="S61" s="12" t="n">
        <v>160</v>
      </c>
      <c r="T61" s="12" t="n">
        <v>41</v>
      </c>
      <c r="U61" s="12" t="n">
        <v>151</v>
      </c>
      <c r="V61" s="11" t="inlineStr">
        <is>
          <t>Dip idlis in piping hot sambar. Eggs provide complete amino acid profile. Soak soya chunks in warm water for 15 mins. Squeeze out bitter water completely before cooking.</t>
        </is>
      </c>
    </row>
    <row r="62" ht="36" customHeight="1">
      <c r="A62" s="7" t="inlineStr">
        <is>
          <t>2026-12-23</t>
        </is>
      </c>
      <c r="B62" s="7" t="n">
        <v>61</v>
      </c>
      <c r="C62" s="7" t="inlineStr">
        <is>
          <t>Wednesday</t>
        </is>
      </c>
      <c r="D62" s="8" t="inlineStr">
        <is>
          <t>Comfort Steamed Staples &amp; Bengaluru Chicken Curry</t>
        </is>
      </c>
      <c r="E62" s="8" t="inlineStr">
        <is>
          <t>Steamed Idlis (3 pcs, 110g) + Veg Sambar (150ml) + 2 Boiled Eggs (100g) [340 kcal, 19g P, 38g C, 12g F, ₹35]</t>
        </is>
      </c>
      <c r="F62" s="8" t="inlineStr">
        <is>
          <t>Steamed Idlis (3 pcs) + Veg Sambar + 1 cup warm sprouted moong salad (100g) [310 kcal, 13g P, 46g C, 5g F, ₹25]</t>
        </is>
      </c>
      <c r="G62" s="8" t="inlineStr">
        <is>
          <t>Ragi Dosa (2 medium, 120g) + Mint Chutney (30g) + 1 Boiled Egg [320 kcal, 14g P, 42g C, 11g F, ₹28]</t>
        </is>
      </c>
      <c r="H62" s="8" t="inlineStr">
        <is>
          <t>Tender Coconut Water (220ml) + Handful Roasted Chana (25g) [130 kcal, 5g P, 22g C, 2g F, ₹40] | Alt: Fresh Papaya slices (150g) + 5 soaked almonds [110 kcal, 3g P, 22g C, 3g F, ₹30]</t>
        </is>
      </c>
      <c r="I62" s="8" t="inlineStr">
        <is>
          <t>Sona Masoori Rice (150g cooked / 55g raw) + Bengaluru Chicken Curry (130g raw / 95g cooked meat) + French Beans Palya (130g) + Pepper Rasam [475 kcal, 34g P, 48g C, 14g F, ₹75]</t>
        </is>
      </c>
      <c r="J62" s="8" t="inlineStr">
        <is>
          <t>2 Soft Wheat Phulkas (80g) + Homestyle Egg Curry (2 eggs in onion-tomato gravy) + Cabbage Poriyal (140g) [440 kcal, 21g P, 48g C, 16g F, ₹40]</t>
        </is>
      </c>
      <c r="K62" s="8" t="inlineStr">
        <is>
          <t>Sona Masoori Rice (150g) + Thick Toor Dal Tadka (180g) + Paneer Palya (80g paneer) + Fresh Curd (100g) [480 kcal, 23g P, 54g C, 18g F, ₹55]</t>
        </is>
      </c>
      <c r="L62" s="8" t="inlineStr">
        <is>
          <t>Spiced Boiled Sundal / Chickpeas (80g) with mustard tempering &amp; lemon [140 kcal, 7g P, 22g C, 3g F, ₹20] | Alt: Roasted Makhana (30g) in 1/2 tsp ghee &amp; rock salt [130 kcal, 3g P, 21g C, 3.5g F, ₹25]</t>
        </is>
      </c>
      <c r="M62" s="8" t="inlineStr">
        <is>
          <t>2 Soft Whole Wheat Phulkas (75g) + Grilled/Pan Chicken Curry (100g meat) + Cucumber Tomato Salad (120g) [420 kcal, 31g P, 42g C, 12g F, ₹65]</t>
        </is>
      </c>
      <c r="N62" s="8" t="inlineStr">
        <is>
          <t>2 Phulkas (75g) + Fresh Paneer Bhurji (90g paneer with capsicum &amp; onion) + Tomato Clear Soup [440 kcal, 20g P, 42g C, 20g F, ₹55]</t>
        </is>
      </c>
      <c r="O62" s="8" t="inlineStr">
        <is>
          <t>Warm Rice-Moong Dal Khichdi (220g) + Fresh Curd (100g) + Steamed Beetroot Poriyal (100g) [380 kcal, 14g P, 58g C, 8g F, ₹35]</t>
        </is>
      </c>
      <c r="P62" s="8" t="inlineStr">
        <is>
          <t>Optional Pre: 1 small banana (80g) [70 kcal] • Post: 1 glass warm toned milk with turmeric (180ml) [95 kcal, 6g P]</t>
        </is>
      </c>
      <c r="Q62" s="9" t="n">
        <v>1505</v>
      </c>
      <c r="R62" s="9" t="n">
        <v>96</v>
      </c>
      <c r="S62" s="9" t="n">
        <v>172</v>
      </c>
      <c r="T62" s="9" t="n">
        <v>43</v>
      </c>
      <c r="U62" s="9" t="n">
        <v>235</v>
      </c>
      <c r="V62" s="8" t="inlineStr">
        <is>
          <t>Steam idlis in idli cooker for 10-12 mins. Weigh 110g cooked on kitchen scale. Zero plate on scale, measure 150g warm rice, then add 95g cooked chicken meat without bones.</t>
        </is>
      </c>
    </row>
    <row r="63" ht="36" customHeight="1">
      <c r="A63" s="10" t="inlineStr">
        <is>
          <t>2026-12-24</t>
        </is>
      </c>
      <c r="B63" s="10" t="n">
        <v>62</v>
      </c>
      <c r="C63" s="10" t="inlineStr">
        <is>
          <t>Thursday</t>
        </is>
      </c>
      <c r="D63" s="11" t="inlineStr">
        <is>
          <t>Iron-Rich Poha, Egg Curry &amp; Golden Turmeric Phulkas</t>
        </is>
      </c>
      <c r="E63" s="11" t="inlineStr">
        <is>
          <t>Vegetable Poha (160g cooked) tempered with mustard &amp; roasted peanuts (15g) + 1 Boiled Egg [330 kcal, 13g P, 44g C, 11g F, ₹28]</t>
        </is>
      </c>
      <c r="F63" s="11" t="inlineStr">
        <is>
          <t>Vegetable Poha (180g) + 1 glass warm toned milk (150ml) [310 kcal, 11g P, 48g C, 8g F, ₹24]</t>
        </is>
      </c>
      <c r="G63" s="11" t="inlineStr">
        <is>
          <t>Rolled Oats cooked in milk (40g oats + 180ml toned milk) with half diced apple [290 kcal, 12g P, 45g C, 6g F, ₹30]</t>
        </is>
      </c>
      <c r="H63" s="11" t="inlineStr">
        <is>
          <t>Spiced Majjige / Buttermilk (220ml) with grated ginger &amp; curry leaves [45 kcal, 3g P, 4g C, 1.5g F, ₹15] | Alt: 1 Crisp Guava or Apple (130g) with pinch of rock salt [75 kcal, 1.5g P, 18g C, 0.5g F, ₹20]</t>
        </is>
      </c>
      <c r="I63" s="11" t="inlineStr">
        <is>
          <t>2 Soft Phulkas (80g) + 2 Boiled Eggs in Onion-Tomato Gravy (120g gravy) + Ridge Gourd (Heerekayi) Palya (140g) [450 kcal, 22g P, 48g C, 17g F, ₹45]</t>
        </is>
      </c>
      <c r="J63" s="11" t="inlineStr">
        <is>
          <t>Sona Masoori Rice (150g) + Fish Curry (120g rohu/pomfret in light coconut gravy) + Beans Poriyal (120g) [460 kcal, 32g P, 46g C, 13g F, ₹80]</t>
        </is>
      </c>
      <c r="K63" s="11" t="inlineStr">
        <is>
          <t>Cooked Rice (150g) + Mixed Vegetable Sambar (180g) + Pan-seared Tofu or Paneer (80g) + Cucumber Slices [465 kcal, 21g P, 52g C, 17g F, ₹55]</t>
        </is>
      </c>
      <c r="L63" s="11" t="inlineStr">
        <is>
          <t>Boiled Sweet Corn (120g) with lemon squeeze &amp; chaat masala [120 kcal, 4g P, 24g C, 1.5g F, ₹20] | Alt: Roasted Kadale / Chana (30g) + Warm Elaichi Green Tea [125 kcal, 6g P, 18g C, 2.5g F, ₹15]</t>
        </is>
      </c>
      <c r="M63" s="11" t="inlineStr">
        <is>
          <t>2 Soft Phulkas (75g) + Fresh Paneer Bhurji (90g paneer, capsicum, tomato) + Warm Tomato Rasam (150ml) [445 kcal, 21g P, 44g C, 19g F, ₹60]</t>
        </is>
      </c>
      <c r="N63" s="11" t="inlineStr">
        <is>
          <t>2 Ragi Rotis (130g) + Chicken Curry (90g cooked meat) + Onion Cucumber Raita (80g) [430 kcal, 30g P, 46g C, 11g F, ₹70]</t>
        </is>
      </c>
      <c r="O63" s="11" t="inlineStr">
        <is>
          <t>Moong Dal Vegetable Dalia Khichdi (220g) + Fresh Curd (100g) [390 kcal, 16g P, 54g C, 9g F, ₹35]</t>
        </is>
      </c>
      <c r="P63" s="11" t="inlineStr">
        <is>
          <t>Optional Pre: 2 Medjool dates [80 kcal] • Post: 1 boiled egg white or 100g warm milk [55 kcal, 4g P]</t>
        </is>
      </c>
      <c r="Q63" s="12" t="n">
        <v>1390</v>
      </c>
      <c r="R63" s="12" t="n">
        <v>63</v>
      </c>
      <c r="S63" s="12" t="n">
        <v>164</v>
      </c>
      <c r="T63" s="12" t="n">
        <v>50</v>
      </c>
      <c r="U63" s="12" t="n">
        <v>168</v>
      </c>
      <c r="V63" s="11" t="inlineStr">
        <is>
          <t>Rinse thick poha in colander, drain well. Sauté with onion, curry leaves, carrots &amp; roasted peanuts. Prick boiled eggs gently before simmering in gravy to absorb rich flavours.</t>
        </is>
      </c>
    </row>
    <row r="64" ht="36" customHeight="1">
      <c r="A64" s="7" t="inlineStr">
        <is>
          <t>2026-12-25</t>
        </is>
      </c>
      <c r="B64" s="7" t="n">
        <v>63</v>
      </c>
      <c r="C64" s="7" t="inlineStr">
        <is>
          <t>Friday</t>
        </is>
      </c>
      <c r="D64" s="8" t="inlineStr">
        <is>
          <t>Bengaluru Rava Upma &amp; Fresh Coastal Home Curry</t>
        </is>
      </c>
      <c r="E64" s="8" t="inlineStr">
        <is>
          <t>Bengaluru Vegetable Rava Upma (180g cooked) with roasted peanuts + 1 Boiled Egg [340 kcal, 14g P, 44g C, 12g F, ₹26]</t>
        </is>
      </c>
      <c r="F64" s="8" t="inlineStr">
        <is>
          <t>Vegetable Upma (180g) + 1 glass warm toned milk (150ml) [320 kcal, 11g P, 48g C, 9g F, ₹24]</t>
        </is>
      </c>
      <c r="G64" s="8" t="inlineStr">
        <is>
          <t>Steamed Idlis (3 pcs) with Mint Toor Dal Chutney (40g) + 1 Boiled Egg [320 kcal, 15g P, 42g C, 9g F, ₹28]</t>
        </is>
      </c>
      <c r="H64" s="8" t="inlineStr">
        <is>
          <t>Fresh Fruit Bowl (150g watermelon or papaya) + 6 soaked almonds [110 kcal, 3g P, 22g C, 3g F, ₹30] | Alt: Tender Coconut Water (220ml) [45 kcal, 1g P, 10g C, 0g F, ₹35]</t>
        </is>
      </c>
      <c r="I64" s="8" t="inlineStr">
        <is>
          <t>Sona Masoori Rice (150g cooked) + Bengaluru Fish Curry (120g fresh fish in light gravy) + Cabbage &amp; Pea Poriyal (130g) + Rasam [450 kcal, 33g P, 46g C, 13g F, ₹80]</t>
        </is>
      </c>
      <c r="J64" s="8" t="inlineStr">
        <is>
          <t>2 Phulkas (80g) + Chicken Curry (95g cooked meat) + Cucumber Carrot Salad (100g) [440 kcal, 31g P, 44g C, 13g F, ₹65]</t>
        </is>
      </c>
      <c r="K64" s="8" t="inlineStr">
        <is>
          <t>Rice (150g) + Thick Chana Dal (180g) + Beans Palya (130g) + Fresh Curd (100g) [470 kcal, 22g P, 56g C, 15g F, ₹45]</t>
        </is>
      </c>
      <c r="L64" s="8" t="inlineStr">
        <is>
          <t>Roasted Puri Kadale / Chana (30g) + Warm Ginger Tea (100ml low-fat milk) [140 kcal, 6g P, 20g C, 3.5g F, ₹18] | Alt: Spiced Boiled Moong Sprouts (80g) with lime &amp; salt [110 kcal, 7g P, 18g C, 1g F, ₹15]</t>
        </is>
      </c>
      <c r="M64" s="8" t="inlineStr">
        <is>
          <t>2 Soft Phulkas (75g) + Soya Chunks &amp; Green Pea Curry (45g dry soya + 50g peas) + Fresh Curd (80g) [420 kcal, 29g P, 48g C, 9g F, ₹40]</t>
        </is>
      </c>
      <c r="N64" s="8" t="inlineStr">
        <is>
          <t>2 Phulkas (75g) + 2 Boiled Eggs in Homestyle Curry (100g) + Sliced Cucumber [410 kcal, 21g P, 42g C, 15g F, ₹38]</t>
        </is>
      </c>
      <c r="O64" s="8" t="inlineStr">
        <is>
          <t>2 Ragi Rotis (120g) + Mixed Vegetable Sambar (180ml) + Sautéed Palak (100g) [380 kcal, 14g P, 54g C, 8g F, ₹30]</t>
        </is>
      </c>
      <c r="P64" s="8" t="inlineStr">
        <is>
          <t>Optional Pre: 1 cup tender coconut water [45 kcal] • Post: 1 glass warm milk (150ml) [85 kcal, 5g P]</t>
        </is>
      </c>
      <c r="Q64" s="9" t="n">
        <v>1460</v>
      </c>
      <c r="R64" s="9" t="n">
        <v>85</v>
      </c>
      <c r="S64" s="9" t="n">
        <v>180</v>
      </c>
      <c r="T64" s="9" t="n">
        <v>40.5</v>
      </c>
      <c r="U64" s="9" t="n">
        <v>194</v>
      </c>
      <c r="V64" s="8" t="inlineStr">
        <is>
          <t>Dry roast semolina lightly. Tempered with mustard seeds, chana dal, green chillies &amp; mixed veggies. Use fresh local fish cuts (rohu, pomfret, or seer fish). Simmer gently for 8 mins.</t>
        </is>
      </c>
    </row>
    <row r="65" ht="36" customHeight="1">
      <c r="A65" s="10" t="inlineStr">
        <is>
          <t>2026-12-26</t>
        </is>
      </c>
      <c r="B65" s="10" t="n">
        <v>64</v>
      </c>
      <c r="C65" s="10" t="inlineStr">
        <is>
          <t>Saturday</t>
        </is>
      </c>
      <c r="D65" s="11" t="inlineStr">
        <is>
          <t>Nourishing Rolled Oats &amp; Tender Chicken Palya</t>
        </is>
      </c>
      <c r="E65" s="11" t="inlineStr">
        <is>
          <t>Warm Rolled Oats (40g dry + 180ml toned milk) + 1 Boiled Egg + Apple slices (50g) [345 kcal, 18g P, 46g C, 10g F, ₹35]</t>
        </is>
      </c>
      <c r="F65" s="11" t="inlineStr">
        <is>
          <t>Vegetable Poha (160g cooked) + 2 Boiled Eggs [360 kcal, 18g P, 42g C, 14g F, ₹32]</t>
        </is>
      </c>
      <c r="G65" s="11" t="inlineStr">
        <is>
          <t>2 Plain Dosas (120g) + Toor Dal Sambar (150ml) + 1 cup warm sprouted moong [330 kcal, 14g P, 48g C, 7g F, ₹25]</t>
        </is>
      </c>
      <c r="H65" s="11" t="inlineStr">
        <is>
          <t>Tender Coconut Water (220ml) + 5 Soaked Almonds [95 kcal, 3g P, 12g C, 4g F, ₹40] | Alt: Fresh Spiced Buttermilk (220ml) with coriander &amp; rock salt [45 kcal, 3g P, 4g C, 1.5g F, ₹15]</t>
        </is>
      </c>
      <c r="I65" s="11" t="inlineStr">
        <is>
          <t>Sona Masoori Rice (150g cooked) + Tender Chicken Curry (130g raw / 95g meat) + Palak (Spinach) Palya (140g) + Rasam [470 kcal, 35g P, 46g C, 13g F, ₹75]</t>
        </is>
      </c>
      <c r="J65" s="11" t="inlineStr">
        <is>
          <t>2 Soft Phulkas (80g) + Fresh Paneer Curry (85g paneer in light gravy) + French Beans Palya (120g) [450 kcal, 21g P, 44g C, 19g F, ₹55]</t>
        </is>
      </c>
      <c r="K65" s="11" t="inlineStr">
        <is>
          <t>Rice (150g) + Toor Dal Tadka (180g) + 2 Boiled Eggs + Beetroot Poriyal (120g) [460 kcal, 25g P, 52g C, 14g F, ₹42]</t>
        </is>
      </c>
      <c r="L65" s="11" t="inlineStr">
        <is>
          <t>Roasted Makhana (30g) + Hot Green Tea with lemon [130 kcal, 3g P, 21g C, 3.5g F, ₹25] | Alt: Boiled Chickpeas Sundal (70g) with mustard &amp; curry leaves [125 kcal, 6g P, 20g C, 2.5g F, ₹18]</t>
        </is>
      </c>
      <c r="M65" s="11" t="inlineStr">
        <is>
          <t>2 Soft Phulkas (75g) + 2 Boiled Eggs in Tomato Onion Curry + Cucumber Salad (100g) [415 kcal, 21g P, 42g C, 15g F, ₹38]</t>
        </is>
      </c>
      <c r="N65" s="11" t="inlineStr">
        <is>
          <t>2 Phulkas (75g) + Grilled Chicken Strips (100g cooked) + Mixed Sautéed Capsicum &amp; Onions [425 kcal, 32g P, 40g C, 11g F, ₹65]</t>
        </is>
      </c>
      <c r="O65" s="11" t="inlineStr">
        <is>
          <t>Warm Moong Dal Vegetable Khichdi (220g) + Fresh Curd (100g) [380 kcal, 15g P, 56g C, 8g F, ₹35]</t>
        </is>
      </c>
      <c r="P65" s="11" t="inlineStr">
        <is>
          <t>Optional Pre: 1 small banana [70 kcal] • Post: 1 cup warm turmeric milk [90 kcal, 6g P]</t>
        </is>
      </c>
      <c r="Q65" s="12" t="n">
        <v>1455</v>
      </c>
      <c r="R65" s="12" t="n">
        <v>80</v>
      </c>
      <c r="S65" s="12" t="n">
        <v>167</v>
      </c>
      <c r="T65" s="12" t="n">
        <v>45.5</v>
      </c>
      <c r="U65" s="12" t="n">
        <v>213</v>
      </c>
      <c r="V65" s="11" t="inlineStr">
        <is>
          <t>Cook oats in milk for 4 mins on medium flame. Stir in pinch of cinnamon powder. Weigh raw boneless chicken (130g). Steam spinach lightly with mustard tempering.</t>
        </is>
      </c>
    </row>
    <row r="66" ht="36" customHeight="1">
      <c r="A66" s="7" t="inlineStr">
        <is>
          <t>2026-12-27</t>
        </is>
      </c>
      <c r="B66" s="7" t="n">
        <v>65</v>
      </c>
      <c r="C66" s="7" t="inlineStr">
        <is>
          <t>Sunday</t>
        </is>
      </c>
      <c r="D66" s="8" t="inlineStr">
        <is>
          <t>Calcium-Rich Ragi Dosa &amp; Fresh Country Egg Feast</t>
        </is>
      </c>
      <c r="E66" s="8" t="inlineStr">
        <is>
          <t>Ragi Dosa (2 medium, 120g) + Coconut Mint Chutney (30g) + 2 Boiled Eggs [350 kcal, 19g P, 40g C, 13g F, ₹35]</t>
        </is>
      </c>
      <c r="F66" s="8" t="inlineStr">
        <is>
          <t>Steamed Idlis (3 pcs, 110g) + Vegetable Sambar (150ml) + 1 Boiled Egg [310 kcal, 13g P, 44g C, 8g F, ₹25]</t>
        </is>
      </c>
      <c r="G66" s="8" t="inlineStr">
        <is>
          <t>Vegetable Upma (180g) + Warm Toned Milk (150ml) [320 kcal, 11g P, 48g C, 9g F, ₹22]</t>
        </is>
      </c>
      <c r="H66" s="8" t="inlineStr">
        <is>
          <t>Fresh Seasonal Fruit (1 Medium Apple or 150g Papaya) + 6 Almonds [115 kcal, 3g P, 22g C, 3.5g F, ₹30] | Alt: Tender Coconut Water (220ml) [45 kcal, 1g P, 10g C, 0g F, ₹35]</t>
        </is>
      </c>
      <c r="I66" s="8" t="inlineStr">
        <is>
          <t>2 Soft Phulkas (80g) + Homestyle Egg Curry (2 eggs) + Cabbage &amp; Carrot Poriyal (140g) + Rasam [445 kcal, 22g P, 48g C, 16g F, ₹42]</t>
        </is>
      </c>
      <c r="J66" s="8" t="inlineStr">
        <is>
          <t>Sona Masoori Rice (150g) + Bengaluru Chicken Curry (95g meat) + Beans Palya (120g) [475 kcal, 34g P, 48g C, 14g F, ₹75]</t>
        </is>
      </c>
      <c r="K66" s="8" t="inlineStr">
        <is>
          <t>Rice (150g) + Thick Toor Dal Tadka (180g) + Fresh Curd (100g) + Tomato Cucumber Salad [440 kcal, 18g P, 56g C, 14g F, ₹40]</t>
        </is>
      </c>
      <c r="L66" s="8" t="inlineStr">
        <is>
          <t>Spiced Boiled Sundal / Chickpeas (80g) with lime [140 kcal, 7g P, 22g C, 3g F, ₹20] | Alt: Roasted Makhana (30g) in 1/2 tsp ghee &amp; rock salt [130 kcal, 3g P, 21g C, 3.5g F, ₹25]</t>
        </is>
      </c>
      <c r="M66" s="8" t="inlineStr">
        <is>
          <t>2 Soft Phulkas (75g) + Home Chicken Curry (100g meat) + Cucumber Salad (100g) [420 kcal, 31g P, 42g C, 12g F, ₹65]</t>
        </is>
      </c>
      <c r="N66" s="8" t="inlineStr">
        <is>
          <t>2 Phulkas (75g) + Fresh Paneer Bhurji (90g paneer, capsicum, onion) + Clear Soup [440 kcal, 20g P, 42g C, 20g F, ₹55]</t>
        </is>
      </c>
      <c r="O66" s="8" t="inlineStr">
        <is>
          <t>Rice-Moong Dal Khichdi (220g) + Curd (100g) + Lauki Sabzi (120g) [385 kcal, 14g P, 58g C, 8.5g F, ₹35]</t>
        </is>
      </c>
      <c r="P66" s="8" t="inlineStr">
        <is>
          <t>Optional Pre: 1 cup tender coconut water [45 kcal] • Post: 1 glass warm milk (150ml) [85 kcal, 5g P]</t>
        </is>
      </c>
      <c r="Q66" s="9" t="n">
        <v>1470</v>
      </c>
      <c r="R66" s="9" t="n">
        <v>82</v>
      </c>
      <c r="S66" s="9" t="n">
        <v>174</v>
      </c>
      <c r="T66" s="9" t="n">
        <v>47.5</v>
      </c>
      <c r="U66" s="9" t="n">
        <v>192</v>
      </c>
      <c r="V66" s="8" t="inlineStr">
        <is>
          <t>Mix ragi flour with equal water, pinch of salt, cumin seeds &amp; chopped onion. Pour on medium hot tawa. Cook vegetables in minimum oil with mustard seeds, curry leaves &amp; grated fresh coconut.</t>
        </is>
      </c>
    </row>
    <row r="67" ht="36" customHeight="1">
      <c r="A67" s="10" t="inlineStr">
        <is>
          <t>2026-12-28</t>
        </is>
      </c>
      <c r="B67" s="10" t="n">
        <v>66</v>
      </c>
      <c r="C67" s="10" t="inlineStr">
        <is>
          <t>Monday</t>
        </is>
      </c>
      <c r="D67" s="11" t="inlineStr">
        <is>
          <t>High-Fiber Soya Chunks &amp; Comfort Idli Sambar</t>
        </is>
      </c>
      <c r="E67" s="11" t="inlineStr">
        <is>
          <t>Steamed Idlis (3 pcs, 110g) + Vegetable Sambar (150ml) + 2 Boiled Eggs [340 kcal, 19g P, 38g C, 12g F, ₹35]</t>
        </is>
      </c>
      <c r="F67" s="11" t="inlineStr">
        <is>
          <t>Vegetable Poha (160g cooked) + 1 Boiled Egg [310 kcal, 12g P, 44g C, 9g F, ₹26]</t>
        </is>
      </c>
      <c r="G67" s="11" t="inlineStr">
        <is>
          <t>Rolled Oats cooked in toned milk (40g + 180ml milk) with 1/2 apple [290 kcal, 12g P, 45g C, 6g F, ₹30]</t>
        </is>
      </c>
      <c r="H67" s="11" t="inlineStr">
        <is>
          <t>Spiced Buttermilk / Majjige (220ml) with curry leaves &amp; ginger [45 kcal, 3g P, 4g C, 1.5g F, ₹15] | Alt: Fresh Papaya slices (150g) + 5 almonds [110 kcal, 3g P, 22g C, 3g F, ₹28]</t>
        </is>
      </c>
      <c r="I67" s="11" t="inlineStr">
        <is>
          <t>Sona Masoori Rice (150g cooked) + Soya Chunks Curry (45g dry soya chunks cooked in onion-tomato gravy) + French Beans Palya (130g) + Rasam [460 kcal, 31g P, 56g C, 9g F, ₹42]</t>
        </is>
      </c>
      <c r="J67" s="11" t="inlineStr">
        <is>
          <t>2 Phulkas (80g) + Chicken Curry (95g meat) + Cabbage Poriyal (120g) [440 kcal, 31g P, 44g C, 13g F, ₹65]</t>
        </is>
      </c>
      <c r="K67" s="11" t="inlineStr">
        <is>
          <t>Rice (150g) + Thick Toor Dal (180g) + 2 Boiled Eggs + Ridge Gourd Palya (120g) [455 kcal, 24g P, 52g C, 14g F, ₹40]</t>
        </is>
      </c>
      <c r="L67" s="11" t="inlineStr">
        <is>
          <t>Roasted Kadale / Chana (30g) + Hot Elaichi Tea (100ml milk) [140 kcal, 6g P, 20g C, 3.5g F, ₹18] | Alt: Roasted Makhana (30g) in ghee &amp; rock salt [130 kcal, 3g P, 21g C, 3.5g F, ₹25]</t>
        </is>
      </c>
      <c r="M67" s="11" t="inlineStr">
        <is>
          <t>2 Soft Phulkas (75g) + 2 Boiled Eggs in Mild Curry + Cucumber Carrot Salad (120g) [415 kcal, 21g P, 42g C, 15g F, ₹38]</t>
        </is>
      </c>
      <c r="N67" s="11" t="inlineStr">
        <is>
          <t>2 Phulkas (75g) + Paneer Bhurji (90g paneer, capsicum, tomato) + Warm Soup [445 kcal, 20g P, 44g C, 19g F, ₹58]</t>
        </is>
      </c>
      <c r="O67" s="11" t="inlineStr">
        <is>
          <t>2 Ragi Rotis (120g) + Chicken Curry (90g meat) + Cucumber Slices [425 kcal, 30g P, 46g C, 11g F, ₹68]</t>
        </is>
      </c>
      <c r="P67" s="11" t="inlineStr">
        <is>
          <t>Optional Pre: 1 small banana [70 kcal] • Post: 1 glass warm milk [90 kcal, 6g P]</t>
        </is>
      </c>
      <c r="Q67" s="12" t="n">
        <v>1400</v>
      </c>
      <c r="R67" s="12" t="n">
        <v>80</v>
      </c>
      <c r="S67" s="12" t="n">
        <v>160</v>
      </c>
      <c r="T67" s="12" t="n">
        <v>41</v>
      </c>
      <c r="U67" s="12" t="n">
        <v>151</v>
      </c>
      <c r="V67" s="11" t="inlineStr">
        <is>
          <t>Dip idlis in piping hot sambar. Eggs provide complete amino acid profile. Soak soya chunks in warm water for 15 mins. Squeeze out bitter water completely before cooking.</t>
        </is>
      </c>
    </row>
    <row r="68" ht="36" customHeight="1">
      <c r="A68" s="7" t="inlineStr">
        <is>
          <t>2026-12-29</t>
        </is>
      </c>
      <c r="B68" s="7" t="n">
        <v>67</v>
      </c>
      <c r="C68" s="7" t="inlineStr">
        <is>
          <t>Tuesday</t>
        </is>
      </c>
      <c r="D68" s="8" t="inlineStr">
        <is>
          <t>Comfort Steamed Staples &amp; Bengaluru Chicken Curry</t>
        </is>
      </c>
      <c r="E68" s="8" t="inlineStr">
        <is>
          <t>Steamed Idlis (3 pcs, 110g) + Veg Sambar (150ml) + 2 Boiled Eggs (100g) [340 kcal, 19g P, 38g C, 12g F, ₹35]</t>
        </is>
      </c>
      <c r="F68" s="8" t="inlineStr">
        <is>
          <t>Steamed Idlis (3 pcs) + Veg Sambar + 1 cup warm sprouted moong salad (100g) [310 kcal, 13g P, 46g C, 5g F, ₹25]</t>
        </is>
      </c>
      <c r="G68" s="8" t="inlineStr">
        <is>
          <t>Ragi Dosa (2 medium, 120g) + Mint Chutney (30g) + 1 Boiled Egg [320 kcal, 14g P, 42g C, 11g F, ₹28]</t>
        </is>
      </c>
      <c r="H68" s="8" t="inlineStr">
        <is>
          <t>Tender Coconut Water (220ml) + Handful Roasted Chana (25g) [130 kcal, 5g P, 22g C, 2g F, ₹40] | Alt: Fresh Papaya slices (150g) + 5 soaked almonds [110 kcal, 3g P, 22g C, 3g F, ₹30]</t>
        </is>
      </c>
      <c r="I68" s="8" t="inlineStr">
        <is>
          <t>Sona Masoori Rice (150g cooked / 55g raw) + Bengaluru Chicken Curry (130g raw / 95g cooked meat) + French Beans Palya (130g) + Pepper Rasam [475 kcal, 34g P, 48g C, 14g F, ₹75]</t>
        </is>
      </c>
      <c r="J68" s="8" t="inlineStr">
        <is>
          <t>2 Soft Wheat Phulkas (80g) + Homestyle Egg Curry (2 eggs in onion-tomato gravy) + Cabbage Poriyal (140g) [440 kcal, 21g P, 48g C, 16g F, ₹40]</t>
        </is>
      </c>
      <c r="K68" s="8" t="inlineStr">
        <is>
          <t>Sona Masoori Rice (150g) + Thick Toor Dal Tadka (180g) + Paneer Palya (80g paneer) + Fresh Curd (100g) [480 kcal, 23g P, 54g C, 18g F, ₹55]</t>
        </is>
      </c>
      <c r="L68" s="8" t="inlineStr">
        <is>
          <t>Spiced Boiled Sundal / Chickpeas (80g) with mustard tempering &amp; lemon [140 kcal, 7g P, 22g C, 3g F, ₹20] | Alt: Roasted Makhana (30g) in 1/2 tsp ghee &amp; rock salt [130 kcal, 3g P, 21g C, 3.5g F, ₹25]</t>
        </is>
      </c>
      <c r="M68" s="8" t="inlineStr">
        <is>
          <t>2 Soft Whole Wheat Phulkas (75g) + Grilled/Pan Chicken Curry (100g meat) + Cucumber Tomato Salad (120g) [420 kcal, 31g P, 42g C, 12g F, ₹65]</t>
        </is>
      </c>
      <c r="N68" s="8" t="inlineStr">
        <is>
          <t>2 Phulkas (75g) + Fresh Paneer Bhurji (90g paneer with capsicum &amp; onion) + Tomato Clear Soup [440 kcal, 20g P, 42g C, 20g F, ₹55]</t>
        </is>
      </c>
      <c r="O68" s="8" t="inlineStr">
        <is>
          <t>Warm Rice-Moong Dal Khichdi (220g) + Fresh Curd (100g) + Steamed Beetroot Poriyal (100g) [380 kcal, 14g P, 58g C, 8g F, ₹35]</t>
        </is>
      </c>
      <c r="P68" s="8" t="inlineStr">
        <is>
          <t>Optional Pre: 1 small banana (80g) [70 kcal] • Post: 1 glass warm toned milk with turmeric (180ml) [95 kcal, 6g P]</t>
        </is>
      </c>
      <c r="Q68" s="9" t="n">
        <v>1505</v>
      </c>
      <c r="R68" s="9" t="n">
        <v>96</v>
      </c>
      <c r="S68" s="9" t="n">
        <v>172</v>
      </c>
      <c r="T68" s="9" t="n">
        <v>43</v>
      </c>
      <c r="U68" s="9" t="n">
        <v>235</v>
      </c>
      <c r="V68" s="8" t="inlineStr">
        <is>
          <t>Steam idlis in idli cooker for 10-12 mins. Weigh 110g cooked on kitchen scale. Zero plate on scale, measure 150g warm rice, then add 95g cooked chicken meat without bones.</t>
        </is>
      </c>
    </row>
    <row r="69" ht="36" customHeight="1">
      <c r="A69" s="10" t="inlineStr">
        <is>
          <t>2026-12-30</t>
        </is>
      </c>
      <c r="B69" s="10" t="n">
        <v>68</v>
      </c>
      <c r="C69" s="10" t="inlineStr">
        <is>
          <t>Wednesday</t>
        </is>
      </c>
      <c r="D69" s="11" t="inlineStr">
        <is>
          <t>Iron-Rich Poha, Egg Curry &amp; Golden Turmeric Phulkas</t>
        </is>
      </c>
      <c r="E69" s="11" t="inlineStr">
        <is>
          <t>Vegetable Poha (160g cooked) tempered with mustard &amp; roasted peanuts (15g) + 1 Boiled Egg [330 kcal, 13g P, 44g C, 11g F, ₹28]</t>
        </is>
      </c>
      <c r="F69" s="11" t="inlineStr">
        <is>
          <t>Vegetable Poha (180g) + 1 glass warm toned milk (150ml) [310 kcal, 11g P, 48g C, 8g F, ₹24]</t>
        </is>
      </c>
      <c r="G69" s="11" t="inlineStr">
        <is>
          <t>Rolled Oats cooked in milk (40g oats + 180ml toned milk) with half diced apple [290 kcal, 12g P, 45g C, 6g F, ₹30]</t>
        </is>
      </c>
      <c r="H69" s="11" t="inlineStr">
        <is>
          <t>Spiced Majjige / Buttermilk (220ml) with grated ginger &amp; curry leaves [45 kcal, 3g P, 4g C, 1.5g F, ₹15] | Alt: 1 Crisp Guava or Apple (130g) with pinch of rock salt [75 kcal, 1.5g P, 18g C, 0.5g F, ₹20]</t>
        </is>
      </c>
      <c r="I69" s="11" t="inlineStr">
        <is>
          <t>2 Soft Phulkas (80g) + 2 Boiled Eggs in Onion-Tomato Gravy (120g gravy) + Ridge Gourd (Heerekayi) Palya (140g) [450 kcal, 22g P, 48g C, 17g F, ₹45]</t>
        </is>
      </c>
      <c r="J69" s="11" t="inlineStr">
        <is>
          <t>Sona Masoori Rice (150g) + Fish Curry (120g rohu/pomfret in light coconut gravy) + Beans Poriyal (120g) [460 kcal, 32g P, 46g C, 13g F, ₹80]</t>
        </is>
      </c>
      <c r="K69" s="11" t="inlineStr">
        <is>
          <t>Cooked Rice (150g) + Mixed Vegetable Sambar (180g) + Pan-seared Tofu or Paneer (80g) + Cucumber Slices [465 kcal, 21g P, 52g C, 17g F, ₹55]</t>
        </is>
      </c>
      <c r="L69" s="11" t="inlineStr">
        <is>
          <t>Boiled Sweet Corn (120g) with lemon squeeze &amp; chaat masala [120 kcal, 4g P, 24g C, 1.5g F, ₹20] | Alt: Roasted Kadale / Chana (30g) + Warm Elaichi Green Tea [125 kcal, 6g P, 18g C, 2.5g F, ₹15]</t>
        </is>
      </c>
      <c r="M69" s="11" t="inlineStr">
        <is>
          <t>2 Soft Phulkas (75g) + Fresh Paneer Bhurji (90g paneer, capsicum, tomato) + Warm Tomato Rasam (150ml) [445 kcal, 21g P, 44g C, 19g F, ₹60]</t>
        </is>
      </c>
      <c r="N69" s="11" t="inlineStr">
        <is>
          <t>2 Ragi Rotis (130g) + Chicken Curry (90g cooked meat) + Onion Cucumber Raita (80g) [430 kcal, 30g P, 46g C, 11g F, ₹70]</t>
        </is>
      </c>
      <c r="O69" s="11" t="inlineStr">
        <is>
          <t>Moong Dal Vegetable Dalia Khichdi (220g) + Fresh Curd (100g) [390 kcal, 16g P, 54g C, 9g F, ₹35]</t>
        </is>
      </c>
      <c r="P69" s="11" t="inlineStr">
        <is>
          <t>Optional Pre: 2 Medjool dates [80 kcal] • Post: 1 boiled egg white or 100g warm milk [55 kcal, 4g P]</t>
        </is>
      </c>
      <c r="Q69" s="12" t="n">
        <v>1390</v>
      </c>
      <c r="R69" s="12" t="n">
        <v>63</v>
      </c>
      <c r="S69" s="12" t="n">
        <v>164</v>
      </c>
      <c r="T69" s="12" t="n">
        <v>50</v>
      </c>
      <c r="U69" s="12" t="n">
        <v>168</v>
      </c>
      <c r="V69" s="11" t="inlineStr">
        <is>
          <t>Rinse thick poha in colander, drain well. Sauté with onion, curry leaves, carrots &amp; roasted peanuts. Prick boiled eggs gently before simmering in gravy to absorb rich flavours.</t>
        </is>
      </c>
    </row>
    <row r="70" ht="36" customHeight="1">
      <c r="A70" s="7" t="inlineStr">
        <is>
          <t>2026-12-31</t>
        </is>
      </c>
      <c r="B70" s="7" t="n">
        <v>69</v>
      </c>
      <c r="C70" s="7" t="inlineStr">
        <is>
          <t>Thursday</t>
        </is>
      </c>
      <c r="D70" s="8" t="inlineStr">
        <is>
          <t>Bengaluru Rava Upma &amp; Fresh Coastal Home Curry</t>
        </is>
      </c>
      <c r="E70" s="8" t="inlineStr">
        <is>
          <t>Bengaluru Vegetable Rava Upma (180g cooked) with roasted peanuts + 1 Boiled Egg [340 kcal, 14g P, 44g C, 12g F, ₹26]</t>
        </is>
      </c>
      <c r="F70" s="8" t="inlineStr">
        <is>
          <t>Vegetable Upma (180g) + 1 glass warm toned milk (150ml) [320 kcal, 11g P, 48g C, 9g F, ₹24]</t>
        </is>
      </c>
      <c r="G70" s="8" t="inlineStr">
        <is>
          <t>Steamed Idlis (3 pcs) with Mint Toor Dal Chutney (40g) + 1 Boiled Egg [320 kcal, 15g P, 42g C, 9g F, ₹28]</t>
        </is>
      </c>
      <c r="H70" s="8" t="inlineStr">
        <is>
          <t>Fresh Fruit Bowl (150g watermelon or papaya) + 6 soaked almonds [110 kcal, 3g P, 22g C, 3g F, ₹30] | Alt: Tender Coconut Water (220ml) [45 kcal, 1g P, 10g C, 0g F, ₹35]</t>
        </is>
      </c>
      <c r="I70" s="8" t="inlineStr">
        <is>
          <t>Sona Masoori Rice (150g cooked) + Bengaluru Fish Curry (120g fresh fish in light gravy) + Cabbage &amp; Pea Poriyal (130g) + Rasam [450 kcal, 33g P, 46g C, 13g F, ₹80]</t>
        </is>
      </c>
      <c r="J70" s="8" t="inlineStr">
        <is>
          <t>2 Phulkas (80g) + Chicken Curry (95g cooked meat) + Cucumber Carrot Salad (100g) [440 kcal, 31g P, 44g C, 13g F, ₹65]</t>
        </is>
      </c>
      <c r="K70" s="8" t="inlineStr">
        <is>
          <t>Rice (150g) + Thick Chana Dal (180g) + Beans Palya (130g) + Fresh Curd (100g) [470 kcal, 22g P, 56g C, 15g F, ₹45]</t>
        </is>
      </c>
      <c r="L70" s="8" t="inlineStr">
        <is>
          <t>Roasted Puri Kadale / Chana (30g) + Warm Ginger Tea (100ml low-fat milk) [140 kcal, 6g P, 20g C, 3.5g F, ₹18] | Alt: Spiced Boiled Moong Sprouts (80g) with lime &amp; salt [110 kcal, 7g P, 18g C, 1g F, ₹15]</t>
        </is>
      </c>
      <c r="M70" s="8" t="inlineStr">
        <is>
          <t>2 Soft Phulkas (75g) + Soya Chunks &amp; Green Pea Curry (45g dry soya + 50g peas) + Fresh Curd (80g) [420 kcal, 29g P, 48g C, 9g F, ₹40]</t>
        </is>
      </c>
      <c r="N70" s="8" t="inlineStr">
        <is>
          <t>2 Phulkas (75g) + 2 Boiled Eggs in Homestyle Curry (100g) + Sliced Cucumber [410 kcal, 21g P, 42g C, 15g F, ₹38]</t>
        </is>
      </c>
      <c r="O70" s="8" t="inlineStr">
        <is>
          <t>2 Ragi Rotis (120g) + Mixed Vegetable Sambar (180ml) + Sautéed Palak (100g) [380 kcal, 14g P, 54g C, 8g F, ₹30]</t>
        </is>
      </c>
      <c r="P70" s="8" t="inlineStr">
        <is>
          <t>Optional Pre: 1 cup tender coconut water [45 kcal] • Post: 1 glass warm milk (150ml) [85 kcal, 5g P]</t>
        </is>
      </c>
      <c r="Q70" s="9" t="n">
        <v>1460</v>
      </c>
      <c r="R70" s="9" t="n">
        <v>85</v>
      </c>
      <c r="S70" s="9" t="n">
        <v>180</v>
      </c>
      <c r="T70" s="9" t="n">
        <v>40.5</v>
      </c>
      <c r="U70" s="9" t="n">
        <v>194</v>
      </c>
      <c r="V70" s="8" t="inlineStr">
        <is>
          <t>Dry roast semolina lightly. Tempered with mustard seeds, chana dal, green chillies &amp; mixed veggies. Use fresh local fish cuts (rohu, pomfret, or seer fish). Simmer gently for 8 mins.</t>
        </is>
      </c>
    </row>
    <row r="71" ht="36" customHeight="1">
      <c r="A71" s="10" t="inlineStr">
        <is>
          <t>2027-01-01</t>
        </is>
      </c>
      <c r="B71" s="10" t="n">
        <v>70</v>
      </c>
      <c r="C71" s="10" t="inlineStr">
        <is>
          <t>Friday</t>
        </is>
      </c>
      <c r="D71" s="11" t="inlineStr">
        <is>
          <t>Nourishing Rolled Oats &amp; Tender Chicken Palya</t>
        </is>
      </c>
      <c r="E71" s="11" t="inlineStr">
        <is>
          <t>Warm Rolled Oats (40g dry + 180ml toned milk) + 1 Boiled Egg + Apple slices (50g) [345 kcal, 18g P, 46g C, 10g F, ₹35]</t>
        </is>
      </c>
      <c r="F71" s="11" t="inlineStr">
        <is>
          <t>Vegetable Poha (160g cooked) + 2 Boiled Eggs [360 kcal, 18g P, 42g C, 14g F, ₹32]</t>
        </is>
      </c>
      <c r="G71" s="11" t="inlineStr">
        <is>
          <t>2 Plain Dosas (120g) + Toor Dal Sambar (150ml) + 1 cup warm sprouted moong [330 kcal, 14g P, 48g C, 7g F, ₹25]</t>
        </is>
      </c>
      <c r="H71" s="11" t="inlineStr">
        <is>
          <t>Tender Coconut Water (220ml) + 5 Soaked Almonds [95 kcal, 3g P, 12g C, 4g F, ₹40] | Alt: Fresh Spiced Buttermilk (220ml) with coriander &amp; rock salt [45 kcal, 3g P, 4g C, 1.5g F, ₹15]</t>
        </is>
      </c>
      <c r="I71" s="11" t="inlineStr">
        <is>
          <t>Sona Masoori Rice (150g cooked) + Tender Chicken Curry (130g raw / 95g meat) + Palak (Spinach) Palya (140g) + Rasam [470 kcal, 35g P, 46g C, 13g F, ₹75]</t>
        </is>
      </c>
      <c r="J71" s="11" t="inlineStr">
        <is>
          <t>2 Soft Phulkas (80g) + Fresh Paneer Curry (85g paneer in light gravy) + French Beans Palya (120g) [450 kcal, 21g P, 44g C, 19g F, ₹55]</t>
        </is>
      </c>
      <c r="K71" s="11" t="inlineStr">
        <is>
          <t>Rice (150g) + Toor Dal Tadka (180g) + 2 Boiled Eggs + Beetroot Poriyal (120g) [460 kcal, 25g P, 52g C, 14g F, ₹42]</t>
        </is>
      </c>
      <c r="L71" s="11" t="inlineStr">
        <is>
          <t>Roasted Makhana (30g) + Hot Green Tea with lemon [130 kcal, 3g P, 21g C, 3.5g F, ₹25] | Alt: Boiled Chickpeas Sundal (70g) with mustard &amp; curry leaves [125 kcal, 6g P, 20g C, 2.5g F, ₹18]</t>
        </is>
      </c>
      <c r="M71" s="11" t="inlineStr">
        <is>
          <t>2 Soft Phulkas (75g) + 2 Boiled Eggs in Tomato Onion Curry + Cucumber Salad (100g) [415 kcal, 21g P, 42g C, 15g F, ₹38]</t>
        </is>
      </c>
      <c r="N71" s="11" t="inlineStr">
        <is>
          <t>2 Phulkas (75g) + Grilled Chicken Strips (100g cooked) + Mixed Sautéed Capsicum &amp; Onions [425 kcal, 32g P, 40g C, 11g F, ₹65]</t>
        </is>
      </c>
      <c r="O71" s="11" t="inlineStr">
        <is>
          <t>Warm Moong Dal Vegetable Khichdi (220g) + Fresh Curd (100g) [380 kcal, 15g P, 56g C, 8g F, ₹35]</t>
        </is>
      </c>
      <c r="P71" s="11" t="inlineStr">
        <is>
          <t>Optional Pre: 1 small banana [70 kcal] • Post: 1 cup warm turmeric milk [90 kcal, 6g P]</t>
        </is>
      </c>
      <c r="Q71" s="12" t="n">
        <v>1455</v>
      </c>
      <c r="R71" s="12" t="n">
        <v>80</v>
      </c>
      <c r="S71" s="12" t="n">
        <v>167</v>
      </c>
      <c r="T71" s="12" t="n">
        <v>45.5</v>
      </c>
      <c r="U71" s="12" t="n">
        <v>213</v>
      </c>
      <c r="V71" s="11" t="inlineStr">
        <is>
          <t>Cook oats in milk for 4 mins on medium flame. Stir in pinch of cinnamon powder. Weigh raw boneless chicken (130g). Steam spinach lightly with mustard tempering.</t>
        </is>
      </c>
    </row>
    <row r="72" ht="36" customHeight="1">
      <c r="A72" s="7" t="inlineStr">
        <is>
          <t>2027-01-02</t>
        </is>
      </c>
      <c r="B72" s="7" t="n">
        <v>71</v>
      </c>
      <c r="C72" s="7" t="inlineStr">
        <is>
          <t>Saturday</t>
        </is>
      </c>
      <c r="D72" s="8" t="inlineStr">
        <is>
          <t>Calcium-Rich Ragi Dosa &amp; Fresh Country Egg Feast</t>
        </is>
      </c>
      <c r="E72" s="8" t="inlineStr">
        <is>
          <t>Ragi Dosa (2 medium, 120g) + Coconut Mint Chutney (30g) + 2 Boiled Eggs [350 kcal, 19g P, 40g C, 13g F, ₹35]</t>
        </is>
      </c>
      <c r="F72" s="8" t="inlineStr">
        <is>
          <t>Steamed Idlis (3 pcs, 110g) + Vegetable Sambar (150ml) + 1 Boiled Egg [310 kcal, 13g P, 44g C, 8g F, ₹25]</t>
        </is>
      </c>
      <c r="G72" s="8" t="inlineStr">
        <is>
          <t>Vegetable Upma (180g) + Warm Toned Milk (150ml) [320 kcal, 11g P, 48g C, 9g F, ₹22]</t>
        </is>
      </c>
      <c r="H72" s="8" t="inlineStr">
        <is>
          <t>Fresh Seasonal Fruit (1 Medium Apple or 150g Papaya) + 6 Almonds [115 kcal, 3g P, 22g C, 3.5g F, ₹30] | Alt: Tender Coconut Water (220ml) [45 kcal, 1g P, 10g C, 0g F, ₹35]</t>
        </is>
      </c>
      <c r="I72" s="8" t="inlineStr">
        <is>
          <t>2 Soft Phulkas (80g) + Homestyle Egg Curry (2 eggs) + Cabbage &amp; Carrot Poriyal (140g) + Rasam [445 kcal, 22g P, 48g C, 16g F, ₹42]</t>
        </is>
      </c>
      <c r="J72" s="8" t="inlineStr">
        <is>
          <t>Sona Masoori Rice (150g) + Bengaluru Chicken Curry (95g meat) + Beans Palya (120g) [475 kcal, 34g P, 48g C, 14g F, ₹75]</t>
        </is>
      </c>
      <c r="K72" s="8" t="inlineStr">
        <is>
          <t>Rice (150g) + Thick Toor Dal Tadka (180g) + Fresh Curd (100g) + Tomato Cucumber Salad [440 kcal, 18g P, 56g C, 14g F, ₹40]</t>
        </is>
      </c>
      <c r="L72" s="8" t="inlineStr">
        <is>
          <t>Spiced Boiled Sundal / Chickpeas (80g) with lime [140 kcal, 7g P, 22g C, 3g F, ₹20] | Alt: Roasted Makhana (30g) in 1/2 tsp ghee &amp; rock salt [130 kcal, 3g P, 21g C, 3.5g F, ₹25]</t>
        </is>
      </c>
      <c r="M72" s="8" t="inlineStr">
        <is>
          <t>2 Soft Phulkas (75g) + Home Chicken Curry (100g meat) + Cucumber Salad (100g) [420 kcal, 31g P, 42g C, 12g F, ₹65]</t>
        </is>
      </c>
      <c r="N72" s="8" t="inlineStr">
        <is>
          <t>2 Phulkas (75g) + Fresh Paneer Bhurji (90g paneer, capsicum, onion) + Clear Soup [440 kcal, 20g P, 42g C, 20g F, ₹55]</t>
        </is>
      </c>
      <c r="O72" s="8" t="inlineStr">
        <is>
          <t>Rice-Moong Dal Khichdi (220g) + Curd (100g) + Lauki Sabzi (120g) [385 kcal, 14g P, 58g C, 8.5g F, ₹35]</t>
        </is>
      </c>
      <c r="P72" s="8" t="inlineStr">
        <is>
          <t>Optional Pre: 1 cup tender coconut water [45 kcal] • Post: 1 glass warm milk (150ml) [85 kcal, 5g P]</t>
        </is>
      </c>
      <c r="Q72" s="9" t="n">
        <v>1470</v>
      </c>
      <c r="R72" s="9" t="n">
        <v>82</v>
      </c>
      <c r="S72" s="9" t="n">
        <v>174</v>
      </c>
      <c r="T72" s="9" t="n">
        <v>47.5</v>
      </c>
      <c r="U72" s="9" t="n">
        <v>192</v>
      </c>
      <c r="V72" s="8" t="inlineStr">
        <is>
          <t>Mix ragi flour with equal water, pinch of salt, cumin seeds &amp; chopped onion. Pour on medium hot tawa. Cook vegetables in minimum oil with mustard seeds, curry leaves &amp; grated fresh coconut.</t>
        </is>
      </c>
    </row>
    <row r="73" ht="36" customHeight="1">
      <c r="A73" s="10" t="inlineStr">
        <is>
          <t>2027-01-03</t>
        </is>
      </c>
      <c r="B73" s="10" t="n">
        <v>72</v>
      </c>
      <c r="C73" s="10" t="inlineStr">
        <is>
          <t>Sunday</t>
        </is>
      </c>
      <c r="D73" s="11" t="inlineStr">
        <is>
          <t>High-Fiber Soya Chunks &amp; Comfort Idli Sambar</t>
        </is>
      </c>
      <c r="E73" s="11" t="inlineStr">
        <is>
          <t>Steamed Idlis (3 pcs, 110g) + Vegetable Sambar (150ml) + 2 Boiled Eggs [340 kcal, 19g P, 38g C, 12g F, ₹35]</t>
        </is>
      </c>
      <c r="F73" s="11" t="inlineStr">
        <is>
          <t>Vegetable Poha (160g cooked) + 1 Boiled Egg [310 kcal, 12g P, 44g C, 9g F, ₹26]</t>
        </is>
      </c>
      <c r="G73" s="11" t="inlineStr">
        <is>
          <t>Rolled Oats cooked in toned milk (40g + 180ml milk) with 1/2 apple [290 kcal, 12g P, 45g C, 6g F, ₹30]</t>
        </is>
      </c>
      <c r="H73" s="11" t="inlineStr">
        <is>
          <t>Spiced Buttermilk / Majjige (220ml) with curry leaves &amp; ginger [45 kcal, 3g P, 4g C, 1.5g F, ₹15] | Alt: Fresh Papaya slices (150g) + 5 almonds [110 kcal, 3g P, 22g C, 3g F, ₹28]</t>
        </is>
      </c>
      <c r="I73" s="11" t="inlineStr">
        <is>
          <t>Sona Masoori Rice (150g cooked) + Soya Chunks Curry (45g dry soya chunks cooked in onion-tomato gravy) + French Beans Palya (130g) + Rasam [460 kcal, 31g P, 56g C, 9g F, ₹42]</t>
        </is>
      </c>
      <c r="J73" s="11" t="inlineStr">
        <is>
          <t>2 Phulkas (80g) + Chicken Curry (95g meat) + Cabbage Poriyal (120g) [440 kcal, 31g P, 44g C, 13g F, ₹65]</t>
        </is>
      </c>
      <c r="K73" s="11" t="inlineStr">
        <is>
          <t>Rice (150g) + Thick Toor Dal (180g) + 2 Boiled Eggs + Ridge Gourd Palya (120g) [455 kcal, 24g P, 52g C, 14g F, ₹40]</t>
        </is>
      </c>
      <c r="L73" s="11" t="inlineStr">
        <is>
          <t>Roasted Kadale / Chana (30g) + Hot Elaichi Tea (100ml milk) [140 kcal, 6g P, 20g C, 3.5g F, ₹18] | Alt: Roasted Makhana (30g) in ghee &amp; rock salt [130 kcal, 3g P, 21g C, 3.5g F, ₹25]</t>
        </is>
      </c>
      <c r="M73" s="11" t="inlineStr">
        <is>
          <t>2 Soft Phulkas (75g) + 2 Boiled Eggs in Mild Curry + Cucumber Carrot Salad (120g) [415 kcal, 21g P, 42g C, 15g F, ₹38]</t>
        </is>
      </c>
      <c r="N73" s="11" t="inlineStr">
        <is>
          <t>2 Phulkas (75g) + Paneer Bhurji (90g paneer, capsicum, tomato) + Warm Soup [445 kcal, 20g P, 44g C, 19g F, ₹58]</t>
        </is>
      </c>
      <c r="O73" s="11" t="inlineStr">
        <is>
          <t>2 Ragi Rotis (120g) + Chicken Curry (90g meat) + Cucumber Slices [425 kcal, 30g P, 46g C, 11g F, ₹68]</t>
        </is>
      </c>
      <c r="P73" s="11" t="inlineStr">
        <is>
          <t>Optional Pre: 1 small banana [70 kcal] • Post: 1 glass warm milk [90 kcal, 6g P]</t>
        </is>
      </c>
      <c r="Q73" s="12" t="n">
        <v>1400</v>
      </c>
      <c r="R73" s="12" t="n">
        <v>80</v>
      </c>
      <c r="S73" s="12" t="n">
        <v>160</v>
      </c>
      <c r="T73" s="12" t="n">
        <v>41</v>
      </c>
      <c r="U73" s="12" t="n">
        <v>151</v>
      </c>
      <c r="V73" s="11" t="inlineStr">
        <is>
          <t>Dip idlis in piping hot sambar. Eggs provide complete amino acid profile. Soak soya chunks in warm water for 15 mins. Squeeze out bitter water completely before cooking.</t>
        </is>
      </c>
    </row>
    <row r="74" ht="36" customHeight="1">
      <c r="A74" s="7" t="inlineStr">
        <is>
          <t>2027-01-04</t>
        </is>
      </c>
      <c r="B74" s="7" t="n">
        <v>73</v>
      </c>
      <c r="C74" s="7" t="inlineStr">
        <is>
          <t>Monday</t>
        </is>
      </c>
      <c r="D74" s="8" t="inlineStr">
        <is>
          <t>Comfort Steamed Staples &amp; Bengaluru Chicken Curry</t>
        </is>
      </c>
      <c r="E74" s="8" t="inlineStr">
        <is>
          <t>Steamed Idlis (3 pcs, 110g) + Veg Sambar (150ml) + 2 Boiled Eggs (100g) [340 kcal, 19g P, 38g C, 12g F, ₹35]</t>
        </is>
      </c>
      <c r="F74" s="8" t="inlineStr">
        <is>
          <t>Steamed Idlis (3 pcs) + Veg Sambar + 1 cup warm sprouted moong salad (100g) [310 kcal, 13g P, 46g C, 5g F, ₹25]</t>
        </is>
      </c>
      <c r="G74" s="8" t="inlineStr">
        <is>
          <t>Ragi Dosa (2 medium, 120g) + Mint Chutney (30g) + 1 Boiled Egg [320 kcal, 14g P, 42g C, 11g F, ₹28]</t>
        </is>
      </c>
      <c r="H74" s="8" t="inlineStr">
        <is>
          <t>Tender Coconut Water (220ml) + Handful Roasted Chana (25g) [130 kcal, 5g P, 22g C, 2g F, ₹40] | Alt: Fresh Papaya slices (150g) + 5 soaked almonds [110 kcal, 3g P, 22g C, 3g F, ₹30]</t>
        </is>
      </c>
      <c r="I74" s="8" t="inlineStr">
        <is>
          <t>Sona Masoori Rice (150g cooked / 55g raw) + Bengaluru Chicken Curry (130g raw / 95g cooked meat) + French Beans Palya (130g) + Pepper Rasam [475 kcal, 34g P, 48g C, 14g F, ₹75]</t>
        </is>
      </c>
      <c r="J74" s="8" t="inlineStr">
        <is>
          <t>2 Soft Wheat Phulkas (80g) + Homestyle Egg Curry (2 eggs in onion-tomato gravy) + Cabbage Poriyal (140g) [440 kcal, 21g P, 48g C, 16g F, ₹40]</t>
        </is>
      </c>
      <c r="K74" s="8" t="inlineStr">
        <is>
          <t>Sona Masoori Rice (150g) + Thick Toor Dal Tadka (180g) + Paneer Palya (80g paneer) + Fresh Curd (100g) [480 kcal, 23g P, 54g C, 18g F, ₹55]</t>
        </is>
      </c>
      <c r="L74" s="8" t="inlineStr">
        <is>
          <t>Spiced Boiled Sundal / Chickpeas (80g) with mustard tempering &amp; lemon [140 kcal, 7g P, 22g C, 3g F, ₹20] | Alt: Roasted Makhana (30g) in 1/2 tsp ghee &amp; rock salt [130 kcal, 3g P, 21g C, 3.5g F, ₹25]</t>
        </is>
      </c>
      <c r="M74" s="8" t="inlineStr">
        <is>
          <t>2 Soft Whole Wheat Phulkas (75g) + Grilled/Pan Chicken Curry (100g meat) + Cucumber Tomato Salad (120g) [420 kcal, 31g P, 42g C, 12g F, ₹65]</t>
        </is>
      </c>
      <c r="N74" s="8" t="inlineStr">
        <is>
          <t>2 Phulkas (75g) + Fresh Paneer Bhurji (90g paneer with capsicum &amp; onion) + Tomato Clear Soup [440 kcal, 20g P, 42g C, 20g F, ₹55]</t>
        </is>
      </c>
      <c r="O74" s="8" t="inlineStr">
        <is>
          <t>Warm Rice-Moong Dal Khichdi (220g) + Fresh Curd (100g) + Steamed Beetroot Poriyal (100g) [380 kcal, 14g P, 58g C, 8g F, ₹35]</t>
        </is>
      </c>
      <c r="P74" s="8" t="inlineStr">
        <is>
          <t>Optional Pre: 1 small banana (80g) [70 kcal] • Post: 1 glass warm toned milk with turmeric (180ml) [95 kcal, 6g P]</t>
        </is>
      </c>
      <c r="Q74" s="9" t="n">
        <v>1505</v>
      </c>
      <c r="R74" s="9" t="n">
        <v>96</v>
      </c>
      <c r="S74" s="9" t="n">
        <v>172</v>
      </c>
      <c r="T74" s="9" t="n">
        <v>43</v>
      </c>
      <c r="U74" s="9" t="n">
        <v>235</v>
      </c>
      <c r="V74" s="8" t="inlineStr">
        <is>
          <t>Steam idlis in idli cooker for 10-12 mins. Weigh 110g cooked on kitchen scale. Zero plate on scale, measure 150g warm rice, then add 95g cooked chicken meat without bones.</t>
        </is>
      </c>
    </row>
    <row r="75" ht="36" customHeight="1">
      <c r="A75" s="10" t="inlineStr">
        <is>
          <t>2027-01-05</t>
        </is>
      </c>
      <c r="B75" s="10" t="n">
        <v>74</v>
      </c>
      <c r="C75" s="10" t="inlineStr">
        <is>
          <t>Tuesday</t>
        </is>
      </c>
      <c r="D75" s="11" t="inlineStr">
        <is>
          <t>Iron-Rich Poha, Egg Curry &amp; Golden Turmeric Phulkas</t>
        </is>
      </c>
      <c r="E75" s="11" t="inlineStr">
        <is>
          <t>Vegetable Poha (160g cooked) tempered with mustard &amp; roasted peanuts (15g) + 1 Boiled Egg [330 kcal, 13g P, 44g C, 11g F, ₹28]</t>
        </is>
      </c>
      <c r="F75" s="11" t="inlineStr">
        <is>
          <t>Vegetable Poha (180g) + 1 glass warm toned milk (150ml) [310 kcal, 11g P, 48g C, 8g F, ₹24]</t>
        </is>
      </c>
      <c r="G75" s="11" t="inlineStr">
        <is>
          <t>Rolled Oats cooked in milk (40g oats + 180ml toned milk) with half diced apple [290 kcal, 12g P, 45g C, 6g F, ₹30]</t>
        </is>
      </c>
      <c r="H75" s="11" t="inlineStr">
        <is>
          <t>Spiced Majjige / Buttermilk (220ml) with grated ginger &amp; curry leaves [45 kcal, 3g P, 4g C, 1.5g F, ₹15] | Alt: 1 Crisp Guava or Apple (130g) with pinch of rock salt [75 kcal, 1.5g P, 18g C, 0.5g F, ₹20]</t>
        </is>
      </c>
      <c r="I75" s="11" t="inlineStr">
        <is>
          <t>2 Soft Phulkas (80g) + 2 Boiled Eggs in Onion-Tomato Gravy (120g gravy) + Ridge Gourd (Heerekayi) Palya (140g) [450 kcal, 22g P, 48g C, 17g F, ₹45]</t>
        </is>
      </c>
      <c r="J75" s="11" t="inlineStr">
        <is>
          <t>Sona Masoori Rice (150g) + Fish Curry (120g rohu/pomfret in light coconut gravy) + Beans Poriyal (120g) [460 kcal, 32g P, 46g C, 13g F, ₹80]</t>
        </is>
      </c>
      <c r="K75" s="11" t="inlineStr">
        <is>
          <t>Cooked Rice (150g) + Mixed Vegetable Sambar (180g) + Pan-seared Tofu or Paneer (80g) + Cucumber Slices [465 kcal, 21g P, 52g C, 17g F, ₹55]</t>
        </is>
      </c>
      <c r="L75" s="11" t="inlineStr">
        <is>
          <t>Boiled Sweet Corn (120g) with lemon squeeze &amp; chaat masala [120 kcal, 4g P, 24g C, 1.5g F, ₹20] | Alt: Roasted Kadale / Chana (30g) + Warm Elaichi Green Tea [125 kcal, 6g P, 18g C, 2.5g F, ₹15]</t>
        </is>
      </c>
      <c r="M75" s="11" t="inlineStr">
        <is>
          <t>2 Soft Phulkas (75g) + Fresh Paneer Bhurji (90g paneer, capsicum, tomato) + Warm Tomato Rasam (150ml) [445 kcal, 21g P, 44g C, 19g F, ₹60]</t>
        </is>
      </c>
      <c r="N75" s="11" t="inlineStr">
        <is>
          <t>2 Ragi Rotis (130g) + Chicken Curry (90g cooked meat) + Onion Cucumber Raita (80g) [430 kcal, 30g P, 46g C, 11g F, ₹70]</t>
        </is>
      </c>
      <c r="O75" s="11" t="inlineStr">
        <is>
          <t>Moong Dal Vegetable Dalia Khichdi (220g) + Fresh Curd (100g) [390 kcal, 16g P, 54g C, 9g F, ₹35]</t>
        </is>
      </c>
      <c r="P75" s="11" t="inlineStr">
        <is>
          <t>Optional Pre: 2 Medjool dates [80 kcal] • Post: 1 boiled egg white or 100g warm milk [55 kcal, 4g P]</t>
        </is>
      </c>
      <c r="Q75" s="12" t="n">
        <v>1390</v>
      </c>
      <c r="R75" s="12" t="n">
        <v>63</v>
      </c>
      <c r="S75" s="12" t="n">
        <v>164</v>
      </c>
      <c r="T75" s="12" t="n">
        <v>50</v>
      </c>
      <c r="U75" s="12" t="n">
        <v>168</v>
      </c>
      <c r="V75" s="11" t="inlineStr">
        <is>
          <t>Rinse thick poha in colander, drain well. Sauté with onion, curry leaves, carrots &amp; roasted peanuts. Prick boiled eggs gently before simmering in gravy to absorb rich flavours.</t>
        </is>
      </c>
    </row>
    <row r="76" ht="36" customHeight="1">
      <c r="A76" s="7" t="inlineStr">
        <is>
          <t>2027-01-06</t>
        </is>
      </c>
      <c r="B76" s="7" t="n">
        <v>75</v>
      </c>
      <c r="C76" s="7" t="inlineStr">
        <is>
          <t>Wednesday</t>
        </is>
      </c>
      <c r="D76" s="8" t="inlineStr">
        <is>
          <t>Bengaluru Rava Upma &amp; Fresh Coastal Home Curry</t>
        </is>
      </c>
      <c r="E76" s="8" t="inlineStr">
        <is>
          <t>Bengaluru Vegetable Rava Upma (180g cooked) with roasted peanuts + 1 Boiled Egg [340 kcal, 14g P, 44g C, 12g F, ₹26]</t>
        </is>
      </c>
      <c r="F76" s="8" t="inlineStr">
        <is>
          <t>Vegetable Upma (180g) + 1 glass warm toned milk (150ml) [320 kcal, 11g P, 48g C, 9g F, ₹24]</t>
        </is>
      </c>
      <c r="G76" s="8" t="inlineStr">
        <is>
          <t>Steamed Idlis (3 pcs) with Mint Toor Dal Chutney (40g) + 1 Boiled Egg [320 kcal, 15g P, 42g C, 9g F, ₹28]</t>
        </is>
      </c>
      <c r="H76" s="8" t="inlineStr">
        <is>
          <t>Fresh Fruit Bowl (150g watermelon or papaya) + 6 soaked almonds [110 kcal, 3g P, 22g C, 3g F, ₹30] | Alt: Tender Coconut Water (220ml) [45 kcal, 1g P, 10g C, 0g F, ₹35]</t>
        </is>
      </c>
      <c r="I76" s="8" t="inlineStr">
        <is>
          <t>Sona Masoori Rice (150g cooked) + Bengaluru Fish Curry (120g fresh fish in light gravy) + Cabbage &amp; Pea Poriyal (130g) + Rasam [450 kcal, 33g P, 46g C, 13g F, ₹80]</t>
        </is>
      </c>
      <c r="J76" s="8" t="inlineStr">
        <is>
          <t>2 Phulkas (80g) + Chicken Curry (95g cooked meat) + Cucumber Carrot Salad (100g) [440 kcal, 31g P, 44g C, 13g F, ₹65]</t>
        </is>
      </c>
      <c r="K76" s="8" t="inlineStr">
        <is>
          <t>Rice (150g) + Thick Chana Dal (180g) + Beans Palya (130g) + Fresh Curd (100g) [470 kcal, 22g P, 56g C, 15g F, ₹45]</t>
        </is>
      </c>
      <c r="L76" s="8" t="inlineStr">
        <is>
          <t>Roasted Puri Kadale / Chana (30g) + Warm Ginger Tea (100ml low-fat milk) [140 kcal, 6g P, 20g C, 3.5g F, ₹18] | Alt: Spiced Boiled Moong Sprouts (80g) with lime &amp; salt [110 kcal, 7g P, 18g C, 1g F, ₹15]</t>
        </is>
      </c>
      <c r="M76" s="8" t="inlineStr">
        <is>
          <t>2 Soft Phulkas (75g) + Soya Chunks &amp; Green Pea Curry (45g dry soya + 50g peas) + Fresh Curd (80g) [420 kcal, 29g P, 48g C, 9g F, ₹40]</t>
        </is>
      </c>
      <c r="N76" s="8" t="inlineStr">
        <is>
          <t>2 Phulkas (75g) + 2 Boiled Eggs in Homestyle Curry (100g) + Sliced Cucumber [410 kcal, 21g P, 42g C, 15g F, ₹38]</t>
        </is>
      </c>
      <c r="O76" s="8" t="inlineStr">
        <is>
          <t>2 Ragi Rotis (120g) + Mixed Vegetable Sambar (180ml) + Sautéed Palak (100g) [380 kcal, 14g P, 54g C, 8g F, ₹30]</t>
        </is>
      </c>
      <c r="P76" s="8" t="inlineStr">
        <is>
          <t>Optional Pre: 1 cup tender coconut water [45 kcal] • Post: 1 glass warm milk (150ml) [85 kcal, 5g P]</t>
        </is>
      </c>
      <c r="Q76" s="9" t="n">
        <v>1460</v>
      </c>
      <c r="R76" s="9" t="n">
        <v>85</v>
      </c>
      <c r="S76" s="9" t="n">
        <v>180</v>
      </c>
      <c r="T76" s="9" t="n">
        <v>40.5</v>
      </c>
      <c r="U76" s="9" t="n">
        <v>194</v>
      </c>
      <c r="V76" s="8" t="inlineStr">
        <is>
          <t>Dry roast semolina lightly. Tempered with mustard seeds, chana dal, green chillies &amp; mixed veggies. Use fresh local fish cuts (rohu, pomfret, or seer fish). Simmer gently for 8 mins.</t>
        </is>
      </c>
    </row>
    <row r="77" ht="36" customHeight="1">
      <c r="A77" s="10" t="inlineStr">
        <is>
          <t>2027-01-07</t>
        </is>
      </c>
      <c r="B77" s="10" t="n">
        <v>76</v>
      </c>
      <c r="C77" s="10" t="inlineStr">
        <is>
          <t>Thursday</t>
        </is>
      </c>
      <c r="D77" s="11" t="inlineStr">
        <is>
          <t>Nourishing Rolled Oats &amp; Tender Chicken Palya</t>
        </is>
      </c>
      <c r="E77" s="11" t="inlineStr">
        <is>
          <t>Warm Rolled Oats (40g dry + 180ml toned milk) + 1 Boiled Egg + Apple slices (50g) [345 kcal, 18g P, 46g C, 10g F, ₹35]</t>
        </is>
      </c>
      <c r="F77" s="11" t="inlineStr">
        <is>
          <t>Vegetable Poha (160g cooked) + 2 Boiled Eggs [360 kcal, 18g P, 42g C, 14g F, ₹32]</t>
        </is>
      </c>
      <c r="G77" s="11" t="inlineStr">
        <is>
          <t>2 Plain Dosas (120g) + Toor Dal Sambar (150ml) + 1 cup warm sprouted moong [330 kcal, 14g P, 48g C, 7g F, ₹25]</t>
        </is>
      </c>
      <c r="H77" s="11" t="inlineStr">
        <is>
          <t>Tender Coconut Water (220ml) + 5 Soaked Almonds [95 kcal, 3g P, 12g C, 4g F, ₹40] | Alt: Fresh Spiced Buttermilk (220ml) with coriander &amp; rock salt [45 kcal, 3g P, 4g C, 1.5g F, ₹15]</t>
        </is>
      </c>
      <c r="I77" s="11" t="inlineStr">
        <is>
          <t>Sona Masoori Rice (150g cooked) + Tender Chicken Curry (130g raw / 95g meat) + Palak (Spinach) Palya (140g) + Rasam [470 kcal, 35g P, 46g C, 13g F, ₹75]</t>
        </is>
      </c>
      <c r="J77" s="11" t="inlineStr">
        <is>
          <t>2 Soft Phulkas (80g) + Fresh Paneer Curry (85g paneer in light gravy) + French Beans Palya (120g) [450 kcal, 21g P, 44g C, 19g F, ₹55]</t>
        </is>
      </c>
      <c r="K77" s="11" t="inlineStr">
        <is>
          <t>Rice (150g) + Toor Dal Tadka (180g) + 2 Boiled Eggs + Beetroot Poriyal (120g) [460 kcal, 25g P, 52g C, 14g F, ₹42]</t>
        </is>
      </c>
      <c r="L77" s="11" t="inlineStr">
        <is>
          <t>Roasted Makhana (30g) + Hot Green Tea with lemon [130 kcal, 3g P, 21g C, 3.5g F, ₹25] | Alt: Boiled Chickpeas Sundal (70g) with mustard &amp; curry leaves [125 kcal, 6g P, 20g C, 2.5g F, ₹18]</t>
        </is>
      </c>
      <c r="M77" s="11" t="inlineStr">
        <is>
          <t>2 Soft Phulkas (75g) + 2 Boiled Eggs in Tomato Onion Curry + Cucumber Salad (100g) [415 kcal, 21g P, 42g C, 15g F, ₹38]</t>
        </is>
      </c>
      <c r="N77" s="11" t="inlineStr">
        <is>
          <t>2 Phulkas (75g) + Grilled Chicken Strips (100g cooked) + Mixed Sautéed Capsicum &amp; Onions [425 kcal, 32g P, 40g C, 11g F, ₹65]</t>
        </is>
      </c>
      <c r="O77" s="11" t="inlineStr">
        <is>
          <t>Warm Moong Dal Vegetable Khichdi (220g) + Fresh Curd (100g) [380 kcal, 15g P, 56g C, 8g F, ₹35]</t>
        </is>
      </c>
      <c r="P77" s="11" t="inlineStr">
        <is>
          <t>Optional Pre: 1 small banana [70 kcal] • Post: 1 cup warm turmeric milk [90 kcal, 6g P]</t>
        </is>
      </c>
      <c r="Q77" s="12" t="n">
        <v>1455</v>
      </c>
      <c r="R77" s="12" t="n">
        <v>80</v>
      </c>
      <c r="S77" s="12" t="n">
        <v>167</v>
      </c>
      <c r="T77" s="12" t="n">
        <v>45.5</v>
      </c>
      <c r="U77" s="12" t="n">
        <v>213</v>
      </c>
      <c r="V77" s="11" t="inlineStr">
        <is>
          <t>Cook oats in milk for 4 mins on medium flame. Stir in pinch of cinnamon powder. Weigh raw boneless chicken (130g). Steam spinach lightly with mustard tempering.</t>
        </is>
      </c>
    </row>
    <row r="78" ht="36" customHeight="1">
      <c r="A78" s="7" t="inlineStr">
        <is>
          <t>2027-01-08</t>
        </is>
      </c>
      <c r="B78" s="7" t="n">
        <v>77</v>
      </c>
      <c r="C78" s="7" t="inlineStr">
        <is>
          <t>Friday</t>
        </is>
      </c>
      <c r="D78" s="8" t="inlineStr">
        <is>
          <t>Calcium-Rich Ragi Dosa &amp; Fresh Country Egg Feast</t>
        </is>
      </c>
      <c r="E78" s="8" t="inlineStr">
        <is>
          <t>Ragi Dosa (2 medium, 120g) + Coconut Mint Chutney (30g) + 2 Boiled Eggs [350 kcal, 19g P, 40g C, 13g F, ₹35]</t>
        </is>
      </c>
      <c r="F78" s="8" t="inlineStr">
        <is>
          <t>Steamed Idlis (3 pcs, 110g) + Vegetable Sambar (150ml) + 1 Boiled Egg [310 kcal, 13g P, 44g C, 8g F, ₹25]</t>
        </is>
      </c>
      <c r="G78" s="8" t="inlineStr">
        <is>
          <t>Vegetable Upma (180g) + Warm Toned Milk (150ml) [320 kcal, 11g P, 48g C, 9g F, ₹22]</t>
        </is>
      </c>
      <c r="H78" s="8" t="inlineStr">
        <is>
          <t>Fresh Seasonal Fruit (1 Medium Apple or 150g Papaya) + 6 Almonds [115 kcal, 3g P, 22g C, 3.5g F, ₹30] | Alt: Tender Coconut Water (220ml) [45 kcal, 1g P, 10g C, 0g F, ₹35]</t>
        </is>
      </c>
      <c r="I78" s="8" t="inlineStr">
        <is>
          <t>2 Soft Phulkas (80g) + Homestyle Egg Curry (2 eggs) + Cabbage &amp; Carrot Poriyal (140g) + Rasam [445 kcal, 22g P, 48g C, 16g F, ₹42]</t>
        </is>
      </c>
      <c r="J78" s="8" t="inlineStr">
        <is>
          <t>Sona Masoori Rice (150g) + Bengaluru Chicken Curry (95g meat) + Beans Palya (120g) [475 kcal, 34g P, 48g C, 14g F, ₹75]</t>
        </is>
      </c>
      <c r="K78" s="8" t="inlineStr">
        <is>
          <t>Rice (150g) + Thick Toor Dal Tadka (180g) + Fresh Curd (100g) + Tomato Cucumber Salad [440 kcal, 18g P, 56g C, 14g F, ₹40]</t>
        </is>
      </c>
      <c r="L78" s="8" t="inlineStr">
        <is>
          <t>Spiced Boiled Sundal / Chickpeas (80g) with lime [140 kcal, 7g P, 22g C, 3g F, ₹20] | Alt: Roasted Makhana (30g) in 1/2 tsp ghee &amp; rock salt [130 kcal, 3g P, 21g C, 3.5g F, ₹25]</t>
        </is>
      </c>
      <c r="M78" s="8" t="inlineStr">
        <is>
          <t>2 Soft Phulkas (75g) + Home Chicken Curry (100g meat) + Cucumber Salad (100g) [420 kcal, 31g P, 42g C, 12g F, ₹65]</t>
        </is>
      </c>
      <c r="N78" s="8" t="inlineStr">
        <is>
          <t>2 Phulkas (75g) + Fresh Paneer Bhurji (90g paneer, capsicum, onion) + Clear Soup [440 kcal, 20g P, 42g C, 20g F, ₹55]</t>
        </is>
      </c>
      <c r="O78" s="8" t="inlineStr">
        <is>
          <t>Rice-Moong Dal Khichdi (220g) + Curd (100g) + Lauki Sabzi (120g) [385 kcal, 14g P, 58g C, 8.5g F, ₹35]</t>
        </is>
      </c>
      <c r="P78" s="8" t="inlineStr">
        <is>
          <t>Optional Pre: 1 cup tender coconut water [45 kcal] • Post: 1 glass warm milk (150ml) [85 kcal, 5g P]</t>
        </is>
      </c>
      <c r="Q78" s="9" t="n">
        <v>1470</v>
      </c>
      <c r="R78" s="9" t="n">
        <v>82</v>
      </c>
      <c r="S78" s="9" t="n">
        <v>174</v>
      </c>
      <c r="T78" s="9" t="n">
        <v>47.5</v>
      </c>
      <c r="U78" s="9" t="n">
        <v>192</v>
      </c>
      <c r="V78" s="8" t="inlineStr">
        <is>
          <t>Mix ragi flour with equal water, pinch of salt, cumin seeds &amp; chopped onion. Pour on medium hot tawa. Cook vegetables in minimum oil with mustard seeds, curry leaves &amp; grated fresh coconut.</t>
        </is>
      </c>
    </row>
    <row r="79" ht="36" customHeight="1">
      <c r="A79" s="10" t="inlineStr">
        <is>
          <t>2027-01-09</t>
        </is>
      </c>
      <c r="B79" s="10" t="n">
        <v>78</v>
      </c>
      <c r="C79" s="10" t="inlineStr">
        <is>
          <t>Saturday</t>
        </is>
      </c>
      <c r="D79" s="11" t="inlineStr">
        <is>
          <t>High-Fiber Soya Chunks &amp; Comfort Idli Sambar</t>
        </is>
      </c>
      <c r="E79" s="11" t="inlineStr">
        <is>
          <t>Steamed Idlis (3 pcs, 110g) + Vegetable Sambar (150ml) + 2 Boiled Eggs [340 kcal, 19g P, 38g C, 12g F, ₹35]</t>
        </is>
      </c>
      <c r="F79" s="11" t="inlineStr">
        <is>
          <t>Vegetable Poha (160g cooked) + 1 Boiled Egg [310 kcal, 12g P, 44g C, 9g F, ₹26]</t>
        </is>
      </c>
      <c r="G79" s="11" t="inlineStr">
        <is>
          <t>Rolled Oats cooked in toned milk (40g + 180ml milk) with 1/2 apple [290 kcal, 12g P, 45g C, 6g F, ₹30]</t>
        </is>
      </c>
      <c r="H79" s="11" t="inlineStr">
        <is>
          <t>Spiced Buttermilk / Majjige (220ml) with curry leaves &amp; ginger [45 kcal, 3g P, 4g C, 1.5g F, ₹15] | Alt: Fresh Papaya slices (150g) + 5 almonds [110 kcal, 3g P, 22g C, 3g F, ₹28]</t>
        </is>
      </c>
      <c r="I79" s="11" t="inlineStr">
        <is>
          <t>Sona Masoori Rice (150g cooked) + Soya Chunks Curry (45g dry soya chunks cooked in onion-tomato gravy) + French Beans Palya (130g) + Rasam [460 kcal, 31g P, 56g C, 9g F, ₹42]</t>
        </is>
      </c>
      <c r="J79" s="11" t="inlineStr">
        <is>
          <t>2 Phulkas (80g) + Chicken Curry (95g meat) + Cabbage Poriyal (120g) [440 kcal, 31g P, 44g C, 13g F, ₹65]</t>
        </is>
      </c>
      <c r="K79" s="11" t="inlineStr">
        <is>
          <t>Rice (150g) + Thick Toor Dal (180g) + 2 Boiled Eggs + Ridge Gourd Palya (120g) [455 kcal, 24g P, 52g C, 14g F, ₹40]</t>
        </is>
      </c>
      <c r="L79" s="11" t="inlineStr">
        <is>
          <t>Roasted Kadale / Chana (30g) + Hot Elaichi Tea (100ml milk) [140 kcal, 6g P, 20g C, 3.5g F, ₹18] | Alt: Roasted Makhana (30g) in ghee &amp; rock salt [130 kcal, 3g P, 21g C, 3.5g F, ₹25]</t>
        </is>
      </c>
      <c r="M79" s="11" t="inlineStr">
        <is>
          <t>2 Soft Phulkas (75g) + 2 Boiled Eggs in Mild Curry + Cucumber Carrot Salad (120g) [415 kcal, 21g P, 42g C, 15g F, ₹38]</t>
        </is>
      </c>
      <c r="N79" s="11" t="inlineStr">
        <is>
          <t>2 Phulkas (75g) + Paneer Bhurji (90g paneer, capsicum, tomato) + Warm Soup [445 kcal, 20g P, 44g C, 19g F, ₹58]</t>
        </is>
      </c>
      <c r="O79" s="11" t="inlineStr">
        <is>
          <t>2 Ragi Rotis (120g) + Chicken Curry (90g meat) + Cucumber Slices [425 kcal, 30g P, 46g C, 11g F, ₹68]</t>
        </is>
      </c>
      <c r="P79" s="11" t="inlineStr">
        <is>
          <t>Optional Pre: 1 small banana [70 kcal] • Post: 1 glass warm milk [90 kcal, 6g P]</t>
        </is>
      </c>
      <c r="Q79" s="12" t="n">
        <v>1400</v>
      </c>
      <c r="R79" s="12" t="n">
        <v>80</v>
      </c>
      <c r="S79" s="12" t="n">
        <v>160</v>
      </c>
      <c r="T79" s="12" t="n">
        <v>41</v>
      </c>
      <c r="U79" s="12" t="n">
        <v>151</v>
      </c>
      <c r="V79" s="11" t="inlineStr">
        <is>
          <t>Dip idlis in piping hot sambar. Eggs provide complete amino acid profile. Soak soya chunks in warm water for 15 mins. Squeeze out bitter water completely before cooking.</t>
        </is>
      </c>
    </row>
    <row r="80" ht="36" customHeight="1">
      <c r="A80" s="7" t="inlineStr">
        <is>
          <t>2027-01-10</t>
        </is>
      </c>
      <c r="B80" s="7" t="n">
        <v>79</v>
      </c>
      <c r="C80" s="7" t="inlineStr">
        <is>
          <t>Sunday</t>
        </is>
      </c>
      <c r="D80" s="8" t="inlineStr">
        <is>
          <t>Comfort Steamed Staples &amp; Bengaluru Chicken Curry</t>
        </is>
      </c>
      <c r="E80" s="8" t="inlineStr">
        <is>
          <t>Steamed Idlis (3 pcs, 110g) + Veg Sambar (150ml) + 2 Boiled Eggs (100g) [340 kcal, 19g P, 38g C, 12g F, ₹35]</t>
        </is>
      </c>
      <c r="F80" s="8" t="inlineStr">
        <is>
          <t>Steamed Idlis (3 pcs) + Veg Sambar + 1 cup warm sprouted moong salad (100g) [310 kcal, 13g P, 46g C, 5g F, ₹25]</t>
        </is>
      </c>
      <c r="G80" s="8" t="inlineStr">
        <is>
          <t>Ragi Dosa (2 medium, 120g) + Mint Chutney (30g) + 1 Boiled Egg [320 kcal, 14g P, 42g C, 11g F, ₹28]</t>
        </is>
      </c>
      <c r="H80" s="8" t="inlineStr">
        <is>
          <t>Tender Coconut Water (220ml) + Handful Roasted Chana (25g) [130 kcal, 5g P, 22g C, 2g F, ₹40] | Alt: Fresh Papaya slices (150g) + 5 soaked almonds [110 kcal, 3g P, 22g C, 3g F, ₹30]</t>
        </is>
      </c>
      <c r="I80" s="8" t="inlineStr">
        <is>
          <t>Sona Masoori Rice (150g cooked / 55g raw) + Bengaluru Chicken Curry (130g raw / 95g cooked meat) + French Beans Palya (130g) + Pepper Rasam [475 kcal, 34g P, 48g C, 14g F, ₹75]</t>
        </is>
      </c>
      <c r="J80" s="8" t="inlineStr">
        <is>
          <t>2 Soft Wheat Phulkas (80g) + Homestyle Egg Curry (2 eggs in onion-tomato gravy) + Cabbage Poriyal (140g) [440 kcal, 21g P, 48g C, 16g F, ₹40]</t>
        </is>
      </c>
      <c r="K80" s="8" t="inlineStr">
        <is>
          <t>Sona Masoori Rice (150g) + Thick Toor Dal Tadka (180g) + Paneer Palya (80g paneer) + Fresh Curd (100g) [480 kcal, 23g P, 54g C, 18g F, ₹55]</t>
        </is>
      </c>
      <c r="L80" s="8" t="inlineStr">
        <is>
          <t>Spiced Boiled Sundal / Chickpeas (80g) with mustard tempering &amp; lemon [140 kcal, 7g P, 22g C, 3g F, ₹20] | Alt: Roasted Makhana (30g) in 1/2 tsp ghee &amp; rock salt [130 kcal, 3g P, 21g C, 3.5g F, ₹25]</t>
        </is>
      </c>
      <c r="M80" s="8" t="inlineStr">
        <is>
          <t>2 Soft Whole Wheat Phulkas (75g) + Grilled/Pan Chicken Curry (100g meat) + Cucumber Tomato Salad (120g) [420 kcal, 31g P, 42g C, 12g F, ₹65]</t>
        </is>
      </c>
      <c r="N80" s="8" t="inlineStr">
        <is>
          <t>2 Phulkas (75g) + Fresh Paneer Bhurji (90g paneer with capsicum &amp; onion) + Tomato Clear Soup [440 kcal, 20g P, 42g C, 20g F, ₹55]</t>
        </is>
      </c>
      <c r="O80" s="8" t="inlineStr">
        <is>
          <t>Warm Rice-Moong Dal Khichdi (220g) + Fresh Curd (100g) + Steamed Beetroot Poriyal (100g) [380 kcal, 14g P, 58g C, 8g F, ₹35]</t>
        </is>
      </c>
      <c r="P80" s="8" t="inlineStr">
        <is>
          <t>Optional Pre: 1 small banana (80g) [70 kcal] • Post: 1 glass warm toned milk with turmeric (180ml) [95 kcal, 6g P]</t>
        </is>
      </c>
      <c r="Q80" s="9" t="n">
        <v>1505</v>
      </c>
      <c r="R80" s="9" t="n">
        <v>96</v>
      </c>
      <c r="S80" s="9" t="n">
        <v>172</v>
      </c>
      <c r="T80" s="9" t="n">
        <v>43</v>
      </c>
      <c r="U80" s="9" t="n">
        <v>235</v>
      </c>
      <c r="V80" s="8" t="inlineStr">
        <is>
          <t>Steam idlis in idli cooker for 10-12 mins. Weigh 110g cooked on kitchen scale. Zero plate on scale, measure 150g warm rice, then add 95g cooked chicken meat without bones.</t>
        </is>
      </c>
    </row>
    <row r="81" ht="36" customHeight="1">
      <c r="A81" s="10" t="inlineStr">
        <is>
          <t>2027-01-11</t>
        </is>
      </c>
      <c r="B81" s="10" t="n">
        <v>80</v>
      </c>
      <c r="C81" s="10" t="inlineStr">
        <is>
          <t>Monday</t>
        </is>
      </c>
      <c r="D81" s="11" t="inlineStr">
        <is>
          <t>Iron-Rich Poha, Egg Curry &amp; Golden Turmeric Phulkas</t>
        </is>
      </c>
      <c r="E81" s="11" t="inlineStr">
        <is>
          <t>Vegetable Poha (160g cooked) tempered with mustard &amp; roasted peanuts (15g) + 1 Boiled Egg [330 kcal, 13g P, 44g C, 11g F, ₹28]</t>
        </is>
      </c>
      <c r="F81" s="11" t="inlineStr">
        <is>
          <t>Vegetable Poha (180g) + 1 glass warm toned milk (150ml) [310 kcal, 11g P, 48g C, 8g F, ₹24]</t>
        </is>
      </c>
      <c r="G81" s="11" t="inlineStr">
        <is>
          <t>Rolled Oats cooked in milk (40g oats + 180ml toned milk) with half diced apple [290 kcal, 12g P, 45g C, 6g F, ₹30]</t>
        </is>
      </c>
      <c r="H81" s="11" t="inlineStr">
        <is>
          <t>Spiced Majjige / Buttermilk (220ml) with grated ginger &amp; curry leaves [45 kcal, 3g P, 4g C, 1.5g F, ₹15] | Alt: 1 Crisp Guava or Apple (130g) with pinch of rock salt [75 kcal, 1.5g P, 18g C, 0.5g F, ₹20]</t>
        </is>
      </c>
      <c r="I81" s="11" t="inlineStr">
        <is>
          <t>2 Soft Phulkas (80g) + 2 Boiled Eggs in Onion-Tomato Gravy (120g gravy) + Ridge Gourd (Heerekayi) Palya (140g) [450 kcal, 22g P, 48g C, 17g F, ₹45]</t>
        </is>
      </c>
      <c r="J81" s="11" t="inlineStr">
        <is>
          <t>Sona Masoori Rice (150g) + Fish Curry (120g rohu/pomfret in light coconut gravy) + Beans Poriyal (120g) [460 kcal, 32g P, 46g C, 13g F, ₹80]</t>
        </is>
      </c>
      <c r="K81" s="11" t="inlineStr">
        <is>
          <t>Cooked Rice (150g) + Mixed Vegetable Sambar (180g) + Pan-seared Tofu or Paneer (80g) + Cucumber Slices [465 kcal, 21g P, 52g C, 17g F, ₹55]</t>
        </is>
      </c>
      <c r="L81" s="11" t="inlineStr">
        <is>
          <t>Boiled Sweet Corn (120g) with lemon squeeze &amp; chaat masala [120 kcal, 4g P, 24g C, 1.5g F, ₹20] | Alt: Roasted Kadale / Chana (30g) + Warm Elaichi Green Tea [125 kcal, 6g P, 18g C, 2.5g F, ₹15]</t>
        </is>
      </c>
      <c r="M81" s="11" t="inlineStr">
        <is>
          <t>2 Soft Phulkas (75g) + Fresh Paneer Bhurji (90g paneer, capsicum, tomato) + Warm Tomato Rasam (150ml) [445 kcal, 21g P, 44g C, 19g F, ₹60]</t>
        </is>
      </c>
      <c r="N81" s="11" t="inlineStr">
        <is>
          <t>2 Ragi Rotis (130g) + Chicken Curry (90g cooked meat) + Onion Cucumber Raita (80g) [430 kcal, 30g P, 46g C, 11g F, ₹70]</t>
        </is>
      </c>
      <c r="O81" s="11" t="inlineStr">
        <is>
          <t>Moong Dal Vegetable Dalia Khichdi (220g) + Fresh Curd (100g) [390 kcal, 16g P, 54g C, 9g F, ₹35]</t>
        </is>
      </c>
      <c r="P81" s="11" t="inlineStr">
        <is>
          <t>Optional Pre: 2 Medjool dates [80 kcal] • Post: 1 boiled egg white or 100g warm milk [55 kcal, 4g P]</t>
        </is>
      </c>
      <c r="Q81" s="12" t="n">
        <v>1390</v>
      </c>
      <c r="R81" s="12" t="n">
        <v>63</v>
      </c>
      <c r="S81" s="12" t="n">
        <v>164</v>
      </c>
      <c r="T81" s="12" t="n">
        <v>50</v>
      </c>
      <c r="U81" s="12" t="n">
        <v>168</v>
      </c>
      <c r="V81" s="11" t="inlineStr">
        <is>
          <t>Rinse thick poha in colander, drain well. Sauté with onion, curry leaves, carrots &amp; roasted peanuts. Prick boiled eggs gently before simmering in gravy to absorb rich flavours.</t>
        </is>
      </c>
    </row>
    <row r="82" ht="36" customHeight="1">
      <c r="A82" s="7" t="inlineStr">
        <is>
          <t>2027-01-12</t>
        </is>
      </c>
      <c r="B82" s="7" t="n">
        <v>81</v>
      </c>
      <c r="C82" s="7" t="inlineStr">
        <is>
          <t>Tuesday</t>
        </is>
      </c>
      <c r="D82" s="8" t="inlineStr">
        <is>
          <t>Bengaluru Rava Upma &amp; Fresh Coastal Home Curry</t>
        </is>
      </c>
      <c r="E82" s="8" t="inlineStr">
        <is>
          <t>Bengaluru Vegetable Rava Upma (180g cooked) with roasted peanuts + 1 Boiled Egg [340 kcal, 14g P, 44g C, 12g F, ₹26]</t>
        </is>
      </c>
      <c r="F82" s="8" t="inlineStr">
        <is>
          <t>Vegetable Upma (180g) + 1 glass warm toned milk (150ml) [320 kcal, 11g P, 48g C, 9g F, ₹24]</t>
        </is>
      </c>
      <c r="G82" s="8" t="inlineStr">
        <is>
          <t>Steamed Idlis (3 pcs) with Mint Toor Dal Chutney (40g) + 1 Boiled Egg [320 kcal, 15g P, 42g C, 9g F, ₹28]</t>
        </is>
      </c>
      <c r="H82" s="8" t="inlineStr">
        <is>
          <t>Fresh Fruit Bowl (150g watermelon or papaya) + 6 soaked almonds [110 kcal, 3g P, 22g C, 3g F, ₹30] | Alt: Tender Coconut Water (220ml) [45 kcal, 1g P, 10g C, 0g F, ₹35]</t>
        </is>
      </c>
      <c r="I82" s="8" t="inlineStr">
        <is>
          <t>Sona Masoori Rice (150g cooked) + Bengaluru Fish Curry (120g fresh fish in light gravy) + Cabbage &amp; Pea Poriyal (130g) + Rasam [450 kcal, 33g P, 46g C, 13g F, ₹80]</t>
        </is>
      </c>
      <c r="J82" s="8" t="inlineStr">
        <is>
          <t>2 Phulkas (80g) + Chicken Curry (95g cooked meat) + Cucumber Carrot Salad (100g) [440 kcal, 31g P, 44g C, 13g F, ₹65]</t>
        </is>
      </c>
      <c r="K82" s="8" t="inlineStr">
        <is>
          <t>Rice (150g) + Thick Chana Dal (180g) + Beans Palya (130g) + Fresh Curd (100g) [470 kcal, 22g P, 56g C, 15g F, ₹45]</t>
        </is>
      </c>
      <c r="L82" s="8" t="inlineStr">
        <is>
          <t>Roasted Puri Kadale / Chana (30g) + Warm Ginger Tea (100ml low-fat milk) [140 kcal, 6g P, 20g C, 3.5g F, ₹18] | Alt: Spiced Boiled Moong Sprouts (80g) with lime &amp; salt [110 kcal, 7g P, 18g C, 1g F, ₹15]</t>
        </is>
      </c>
      <c r="M82" s="8" t="inlineStr">
        <is>
          <t>2 Soft Phulkas (75g) + Soya Chunks &amp; Green Pea Curry (45g dry soya + 50g peas) + Fresh Curd (80g) [420 kcal, 29g P, 48g C, 9g F, ₹40]</t>
        </is>
      </c>
      <c r="N82" s="8" t="inlineStr">
        <is>
          <t>2 Phulkas (75g) + 2 Boiled Eggs in Homestyle Curry (100g) + Sliced Cucumber [410 kcal, 21g P, 42g C, 15g F, ₹38]</t>
        </is>
      </c>
      <c r="O82" s="8" t="inlineStr">
        <is>
          <t>2 Ragi Rotis (120g) + Mixed Vegetable Sambar (180ml) + Sautéed Palak (100g) [380 kcal, 14g P, 54g C, 8g F, ₹30]</t>
        </is>
      </c>
      <c r="P82" s="8" t="inlineStr">
        <is>
          <t>Optional Pre: 1 cup tender coconut water [45 kcal] • Post: 1 glass warm milk (150ml) [85 kcal, 5g P]</t>
        </is>
      </c>
      <c r="Q82" s="9" t="n">
        <v>1460</v>
      </c>
      <c r="R82" s="9" t="n">
        <v>85</v>
      </c>
      <c r="S82" s="9" t="n">
        <v>180</v>
      </c>
      <c r="T82" s="9" t="n">
        <v>40.5</v>
      </c>
      <c r="U82" s="9" t="n">
        <v>194</v>
      </c>
      <c r="V82" s="8" t="inlineStr">
        <is>
          <t>Dry roast semolina lightly. Tempered with mustard seeds, chana dal, green chillies &amp; mixed veggies. Use fresh local fish cuts (rohu, pomfret, or seer fish). Simmer gently for 8 mins.</t>
        </is>
      </c>
    </row>
    <row r="83" ht="36" customHeight="1">
      <c r="A83" s="10" t="inlineStr">
        <is>
          <t>2027-01-13</t>
        </is>
      </c>
      <c r="B83" s="10" t="n">
        <v>82</v>
      </c>
      <c r="C83" s="10" t="inlineStr">
        <is>
          <t>Wednesday</t>
        </is>
      </c>
      <c r="D83" s="11" t="inlineStr">
        <is>
          <t>Nourishing Rolled Oats &amp; Tender Chicken Palya</t>
        </is>
      </c>
      <c r="E83" s="11" t="inlineStr">
        <is>
          <t>Warm Rolled Oats (40g dry + 180ml toned milk) + 1 Boiled Egg + Apple slices (50g) [345 kcal, 18g P, 46g C, 10g F, ₹35]</t>
        </is>
      </c>
      <c r="F83" s="11" t="inlineStr">
        <is>
          <t>Vegetable Poha (160g cooked) + 2 Boiled Eggs [360 kcal, 18g P, 42g C, 14g F, ₹32]</t>
        </is>
      </c>
      <c r="G83" s="11" t="inlineStr">
        <is>
          <t>2 Plain Dosas (120g) + Toor Dal Sambar (150ml) + 1 cup warm sprouted moong [330 kcal, 14g P, 48g C, 7g F, ₹25]</t>
        </is>
      </c>
      <c r="H83" s="11" t="inlineStr">
        <is>
          <t>Tender Coconut Water (220ml) + 5 Soaked Almonds [95 kcal, 3g P, 12g C, 4g F, ₹40] | Alt: Fresh Spiced Buttermilk (220ml) with coriander &amp; rock salt [45 kcal, 3g P, 4g C, 1.5g F, ₹15]</t>
        </is>
      </c>
      <c r="I83" s="11" t="inlineStr">
        <is>
          <t>Sona Masoori Rice (150g cooked) + Tender Chicken Curry (130g raw / 95g meat) + Palak (Spinach) Palya (140g) + Rasam [470 kcal, 35g P, 46g C, 13g F, ₹75]</t>
        </is>
      </c>
      <c r="J83" s="11" t="inlineStr">
        <is>
          <t>2 Soft Phulkas (80g) + Fresh Paneer Curry (85g paneer in light gravy) + French Beans Palya (120g) [450 kcal, 21g P, 44g C, 19g F, ₹55]</t>
        </is>
      </c>
      <c r="K83" s="11" t="inlineStr">
        <is>
          <t>Rice (150g) + Toor Dal Tadka (180g) + 2 Boiled Eggs + Beetroot Poriyal (120g) [460 kcal, 25g P, 52g C, 14g F, ₹42]</t>
        </is>
      </c>
      <c r="L83" s="11" t="inlineStr">
        <is>
          <t>Roasted Makhana (30g) + Hot Green Tea with lemon [130 kcal, 3g P, 21g C, 3.5g F, ₹25] | Alt: Boiled Chickpeas Sundal (70g) with mustard &amp; curry leaves [125 kcal, 6g P, 20g C, 2.5g F, ₹18]</t>
        </is>
      </c>
      <c r="M83" s="11" t="inlineStr">
        <is>
          <t>2 Soft Phulkas (75g) + 2 Boiled Eggs in Tomato Onion Curry + Cucumber Salad (100g) [415 kcal, 21g P, 42g C, 15g F, ₹38]</t>
        </is>
      </c>
      <c r="N83" s="11" t="inlineStr">
        <is>
          <t>2 Phulkas (75g) + Grilled Chicken Strips (100g cooked) + Mixed Sautéed Capsicum &amp; Onions [425 kcal, 32g P, 40g C, 11g F, ₹65]</t>
        </is>
      </c>
      <c r="O83" s="11" t="inlineStr">
        <is>
          <t>Warm Moong Dal Vegetable Khichdi (220g) + Fresh Curd (100g) [380 kcal, 15g P, 56g C, 8g F, ₹35]</t>
        </is>
      </c>
      <c r="P83" s="11" t="inlineStr">
        <is>
          <t>Optional Pre: 1 small banana [70 kcal] • Post: 1 cup warm turmeric milk [90 kcal, 6g P]</t>
        </is>
      </c>
      <c r="Q83" s="12" t="n">
        <v>1455</v>
      </c>
      <c r="R83" s="12" t="n">
        <v>80</v>
      </c>
      <c r="S83" s="12" t="n">
        <v>167</v>
      </c>
      <c r="T83" s="12" t="n">
        <v>45.5</v>
      </c>
      <c r="U83" s="12" t="n">
        <v>213</v>
      </c>
      <c r="V83" s="11" t="inlineStr">
        <is>
          <t>Cook oats in milk for 4 mins on medium flame. Stir in pinch of cinnamon powder. Weigh raw boneless chicken (130g). Steam spinach lightly with mustard tempering.</t>
        </is>
      </c>
    </row>
    <row r="84" ht="36" customHeight="1">
      <c r="A84" s="7" t="inlineStr">
        <is>
          <t>2027-01-14</t>
        </is>
      </c>
      <c r="B84" s="7" t="n">
        <v>83</v>
      </c>
      <c r="C84" s="7" t="inlineStr">
        <is>
          <t>Thursday</t>
        </is>
      </c>
      <c r="D84" s="8" t="inlineStr">
        <is>
          <t>Calcium-Rich Ragi Dosa &amp; Fresh Country Egg Feast</t>
        </is>
      </c>
      <c r="E84" s="8" t="inlineStr">
        <is>
          <t>Ragi Dosa (2 medium, 120g) + Coconut Mint Chutney (30g) + 2 Boiled Eggs [350 kcal, 19g P, 40g C, 13g F, ₹35]</t>
        </is>
      </c>
      <c r="F84" s="8" t="inlineStr">
        <is>
          <t>Steamed Idlis (3 pcs, 110g) + Vegetable Sambar (150ml) + 1 Boiled Egg [310 kcal, 13g P, 44g C, 8g F, ₹25]</t>
        </is>
      </c>
      <c r="G84" s="8" t="inlineStr">
        <is>
          <t>Vegetable Upma (180g) + Warm Toned Milk (150ml) [320 kcal, 11g P, 48g C, 9g F, ₹22]</t>
        </is>
      </c>
      <c r="H84" s="8" t="inlineStr">
        <is>
          <t>Fresh Seasonal Fruit (1 Medium Apple or 150g Papaya) + 6 Almonds [115 kcal, 3g P, 22g C, 3.5g F, ₹30] | Alt: Tender Coconut Water (220ml) [45 kcal, 1g P, 10g C, 0g F, ₹35]</t>
        </is>
      </c>
      <c r="I84" s="8" t="inlineStr">
        <is>
          <t>2 Soft Phulkas (80g) + Homestyle Egg Curry (2 eggs) + Cabbage &amp; Carrot Poriyal (140g) + Rasam [445 kcal, 22g P, 48g C, 16g F, ₹42]</t>
        </is>
      </c>
      <c r="J84" s="8" t="inlineStr">
        <is>
          <t>Sona Masoori Rice (150g) + Bengaluru Chicken Curry (95g meat) + Beans Palya (120g) [475 kcal, 34g P, 48g C, 14g F, ₹75]</t>
        </is>
      </c>
      <c r="K84" s="8" t="inlineStr">
        <is>
          <t>Rice (150g) + Thick Toor Dal Tadka (180g) + Fresh Curd (100g) + Tomato Cucumber Salad [440 kcal, 18g P, 56g C, 14g F, ₹40]</t>
        </is>
      </c>
      <c r="L84" s="8" t="inlineStr">
        <is>
          <t>Spiced Boiled Sundal / Chickpeas (80g) with lime [140 kcal, 7g P, 22g C, 3g F, ₹20] | Alt: Roasted Makhana (30g) in 1/2 tsp ghee &amp; rock salt [130 kcal, 3g P, 21g C, 3.5g F, ₹25]</t>
        </is>
      </c>
      <c r="M84" s="8" t="inlineStr">
        <is>
          <t>2 Soft Phulkas (75g) + Home Chicken Curry (100g meat) + Cucumber Salad (100g) [420 kcal, 31g P, 42g C, 12g F, ₹65]</t>
        </is>
      </c>
      <c r="N84" s="8" t="inlineStr">
        <is>
          <t>2 Phulkas (75g) + Fresh Paneer Bhurji (90g paneer, capsicum, onion) + Clear Soup [440 kcal, 20g P, 42g C, 20g F, ₹55]</t>
        </is>
      </c>
      <c r="O84" s="8" t="inlineStr">
        <is>
          <t>Rice-Moong Dal Khichdi (220g) + Curd (100g) + Lauki Sabzi (120g) [385 kcal, 14g P, 58g C, 8.5g F, ₹35]</t>
        </is>
      </c>
      <c r="P84" s="8" t="inlineStr">
        <is>
          <t>Optional Pre: 1 cup tender coconut water [45 kcal] • Post: 1 glass warm milk (150ml) [85 kcal, 5g P]</t>
        </is>
      </c>
      <c r="Q84" s="9" t="n">
        <v>1470</v>
      </c>
      <c r="R84" s="9" t="n">
        <v>82</v>
      </c>
      <c r="S84" s="9" t="n">
        <v>174</v>
      </c>
      <c r="T84" s="9" t="n">
        <v>47.5</v>
      </c>
      <c r="U84" s="9" t="n">
        <v>192</v>
      </c>
      <c r="V84" s="8" t="inlineStr">
        <is>
          <t>Mix ragi flour with equal water, pinch of salt, cumin seeds &amp; chopped onion. Pour on medium hot tawa. Cook vegetables in minimum oil with mustard seeds, curry leaves &amp; grated fresh coconut.</t>
        </is>
      </c>
    </row>
    <row r="85" ht="36" customHeight="1">
      <c r="A85" s="10" t="inlineStr">
        <is>
          <t>2027-01-15</t>
        </is>
      </c>
      <c r="B85" s="10" t="n">
        <v>84</v>
      </c>
      <c r="C85" s="10" t="inlineStr">
        <is>
          <t>Friday</t>
        </is>
      </c>
      <c r="D85" s="11" t="inlineStr">
        <is>
          <t>High-Fiber Soya Chunks &amp; Comfort Idli Sambar</t>
        </is>
      </c>
      <c r="E85" s="11" t="inlineStr">
        <is>
          <t>Steamed Idlis (3 pcs, 110g) + Vegetable Sambar (150ml) + 2 Boiled Eggs [340 kcal, 19g P, 38g C, 12g F, ₹35]</t>
        </is>
      </c>
      <c r="F85" s="11" t="inlineStr">
        <is>
          <t>Vegetable Poha (160g cooked) + 1 Boiled Egg [310 kcal, 12g P, 44g C, 9g F, ₹26]</t>
        </is>
      </c>
      <c r="G85" s="11" t="inlineStr">
        <is>
          <t>Rolled Oats cooked in toned milk (40g + 180ml milk) with 1/2 apple [290 kcal, 12g P, 45g C, 6g F, ₹30]</t>
        </is>
      </c>
      <c r="H85" s="11" t="inlineStr">
        <is>
          <t>Spiced Buttermilk / Majjige (220ml) with curry leaves &amp; ginger [45 kcal, 3g P, 4g C, 1.5g F, ₹15] | Alt: Fresh Papaya slices (150g) + 5 almonds [110 kcal, 3g P, 22g C, 3g F, ₹28]</t>
        </is>
      </c>
      <c r="I85" s="11" t="inlineStr">
        <is>
          <t>Sona Masoori Rice (150g cooked) + Soya Chunks Curry (45g dry soya chunks cooked in onion-tomato gravy) + French Beans Palya (130g) + Rasam [460 kcal, 31g P, 56g C, 9g F, ₹42]</t>
        </is>
      </c>
      <c r="J85" s="11" t="inlineStr">
        <is>
          <t>2 Phulkas (80g) + Chicken Curry (95g meat) + Cabbage Poriyal (120g) [440 kcal, 31g P, 44g C, 13g F, ₹65]</t>
        </is>
      </c>
      <c r="K85" s="11" t="inlineStr">
        <is>
          <t>Rice (150g) + Thick Toor Dal (180g) + 2 Boiled Eggs + Ridge Gourd Palya (120g) [455 kcal, 24g P, 52g C, 14g F, ₹40]</t>
        </is>
      </c>
      <c r="L85" s="11" t="inlineStr">
        <is>
          <t>Roasted Kadale / Chana (30g) + Hot Elaichi Tea (100ml milk) [140 kcal, 6g P, 20g C, 3.5g F, ₹18] | Alt: Roasted Makhana (30g) in ghee &amp; rock salt [130 kcal, 3g P, 21g C, 3.5g F, ₹25]</t>
        </is>
      </c>
      <c r="M85" s="11" t="inlineStr">
        <is>
          <t>2 Soft Phulkas (75g) + 2 Boiled Eggs in Mild Curry + Cucumber Carrot Salad (120g) [415 kcal, 21g P, 42g C, 15g F, ₹38]</t>
        </is>
      </c>
      <c r="N85" s="11" t="inlineStr">
        <is>
          <t>2 Phulkas (75g) + Paneer Bhurji (90g paneer, capsicum, tomato) + Warm Soup [445 kcal, 20g P, 44g C, 19g F, ₹58]</t>
        </is>
      </c>
      <c r="O85" s="11" t="inlineStr">
        <is>
          <t>2 Ragi Rotis (120g) + Chicken Curry (90g meat) + Cucumber Slices [425 kcal, 30g P, 46g C, 11g F, ₹68]</t>
        </is>
      </c>
      <c r="P85" s="11" t="inlineStr">
        <is>
          <t>Optional Pre: 1 small banana [70 kcal] • Post: 1 glass warm milk [90 kcal, 6g P]</t>
        </is>
      </c>
      <c r="Q85" s="12" t="n">
        <v>1400</v>
      </c>
      <c r="R85" s="12" t="n">
        <v>80</v>
      </c>
      <c r="S85" s="12" t="n">
        <v>160</v>
      </c>
      <c r="T85" s="12" t="n">
        <v>41</v>
      </c>
      <c r="U85" s="12" t="n">
        <v>151</v>
      </c>
      <c r="V85" s="11" t="inlineStr">
        <is>
          <t>Dip idlis in piping hot sambar. Eggs provide complete amino acid profile. Soak soya chunks in warm water for 15 mins. Squeeze out bitter water completely before cooking.</t>
        </is>
      </c>
    </row>
    <row r="86" ht="36" customHeight="1">
      <c r="A86" s="7" t="inlineStr">
        <is>
          <t>2027-01-16</t>
        </is>
      </c>
      <c r="B86" s="7" t="n">
        <v>85</v>
      </c>
      <c r="C86" s="7" t="inlineStr">
        <is>
          <t>Saturday</t>
        </is>
      </c>
      <c r="D86" s="8" t="inlineStr">
        <is>
          <t>Comfort Steamed Staples &amp; Bengaluru Chicken Curry</t>
        </is>
      </c>
      <c r="E86" s="8" t="inlineStr">
        <is>
          <t>Steamed Idlis (3 pcs, 110g) + Veg Sambar (150ml) + 2 Boiled Eggs (100g) [340 kcal, 19g P, 38g C, 12g F, ₹35]</t>
        </is>
      </c>
      <c r="F86" s="8" t="inlineStr">
        <is>
          <t>Steamed Idlis (3 pcs) + Veg Sambar + 1 cup warm sprouted moong salad (100g) [310 kcal, 13g P, 46g C, 5g F, ₹25]</t>
        </is>
      </c>
      <c r="G86" s="8" t="inlineStr">
        <is>
          <t>Ragi Dosa (2 medium, 120g) + Mint Chutney (30g) + 1 Boiled Egg [320 kcal, 14g P, 42g C, 11g F, ₹28]</t>
        </is>
      </c>
      <c r="H86" s="8" t="inlineStr">
        <is>
          <t>Tender Coconut Water (220ml) + Handful Roasted Chana (25g) [130 kcal, 5g P, 22g C, 2g F, ₹40] | Alt: Fresh Papaya slices (150g) + 5 soaked almonds [110 kcal, 3g P, 22g C, 3g F, ₹30]</t>
        </is>
      </c>
      <c r="I86" s="8" t="inlineStr">
        <is>
          <t>Sona Masoori Rice (150g cooked / 55g raw) + Bengaluru Chicken Curry (130g raw / 95g cooked meat) + French Beans Palya (130g) + Pepper Rasam [475 kcal, 34g P, 48g C, 14g F, ₹75]</t>
        </is>
      </c>
      <c r="J86" s="8" t="inlineStr">
        <is>
          <t>2 Soft Wheat Phulkas (80g) + Homestyle Egg Curry (2 eggs in onion-tomato gravy) + Cabbage Poriyal (140g) [440 kcal, 21g P, 48g C, 16g F, ₹40]</t>
        </is>
      </c>
      <c r="K86" s="8" t="inlineStr">
        <is>
          <t>Sona Masoori Rice (150g) + Thick Toor Dal Tadka (180g) + Paneer Palya (80g paneer) + Fresh Curd (100g) [480 kcal, 23g P, 54g C, 18g F, ₹55]</t>
        </is>
      </c>
      <c r="L86" s="8" t="inlineStr">
        <is>
          <t>Spiced Boiled Sundal / Chickpeas (80g) with mustard tempering &amp; lemon [140 kcal, 7g P, 22g C, 3g F, ₹20] | Alt: Roasted Makhana (30g) in 1/2 tsp ghee &amp; rock salt [130 kcal, 3g P, 21g C, 3.5g F, ₹25]</t>
        </is>
      </c>
      <c r="M86" s="8" t="inlineStr">
        <is>
          <t>2 Soft Whole Wheat Phulkas (75g) + Grilled/Pan Chicken Curry (100g meat) + Cucumber Tomato Salad (120g) [420 kcal, 31g P, 42g C, 12g F, ₹65]</t>
        </is>
      </c>
      <c r="N86" s="8" t="inlineStr">
        <is>
          <t>2 Phulkas (75g) + Fresh Paneer Bhurji (90g paneer with capsicum &amp; onion) + Tomato Clear Soup [440 kcal, 20g P, 42g C, 20g F, ₹55]</t>
        </is>
      </c>
      <c r="O86" s="8" t="inlineStr">
        <is>
          <t>Warm Rice-Moong Dal Khichdi (220g) + Fresh Curd (100g) + Steamed Beetroot Poriyal (100g) [380 kcal, 14g P, 58g C, 8g F, ₹35]</t>
        </is>
      </c>
      <c r="P86" s="8" t="inlineStr">
        <is>
          <t>Optional Pre: 1 small banana (80g) [70 kcal] • Post: 1 glass warm toned milk with turmeric (180ml) [95 kcal, 6g P]</t>
        </is>
      </c>
      <c r="Q86" s="9" t="n">
        <v>1505</v>
      </c>
      <c r="R86" s="9" t="n">
        <v>96</v>
      </c>
      <c r="S86" s="9" t="n">
        <v>172</v>
      </c>
      <c r="T86" s="9" t="n">
        <v>43</v>
      </c>
      <c r="U86" s="9" t="n">
        <v>235</v>
      </c>
      <c r="V86" s="8" t="inlineStr">
        <is>
          <t>Steam idlis in idli cooker for 10-12 mins. Weigh 110g cooked on kitchen scale. Zero plate on scale, measure 150g warm rice, then add 95g cooked chicken meat without bones.</t>
        </is>
      </c>
    </row>
    <row r="87" ht="36" customHeight="1">
      <c r="A87" s="10" t="inlineStr">
        <is>
          <t>2027-01-17</t>
        </is>
      </c>
      <c r="B87" s="10" t="n">
        <v>86</v>
      </c>
      <c r="C87" s="10" t="inlineStr">
        <is>
          <t>Sunday</t>
        </is>
      </c>
      <c r="D87" s="11" t="inlineStr">
        <is>
          <t>Iron-Rich Poha, Egg Curry &amp; Golden Turmeric Phulkas</t>
        </is>
      </c>
      <c r="E87" s="11" t="inlineStr">
        <is>
          <t>Vegetable Poha (160g cooked) tempered with mustard &amp; roasted peanuts (15g) + 1 Boiled Egg [330 kcal, 13g P, 44g C, 11g F, ₹28]</t>
        </is>
      </c>
      <c r="F87" s="11" t="inlineStr">
        <is>
          <t>Vegetable Poha (180g) + 1 glass warm toned milk (150ml) [310 kcal, 11g P, 48g C, 8g F, ₹24]</t>
        </is>
      </c>
      <c r="G87" s="11" t="inlineStr">
        <is>
          <t>Rolled Oats cooked in milk (40g oats + 180ml toned milk) with half diced apple [290 kcal, 12g P, 45g C, 6g F, ₹30]</t>
        </is>
      </c>
      <c r="H87" s="11" t="inlineStr">
        <is>
          <t>Spiced Majjige / Buttermilk (220ml) with grated ginger &amp; curry leaves [45 kcal, 3g P, 4g C, 1.5g F, ₹15] | Alt: 1 Crisp Guava or Apple (130g) with pinch of rock salt [75 kcal, 1.5g P, 18g C, 0.5g F, ₹20]</t>
        </is>
      </c>
      <c r="I87" s="11" t="inlineStr">
        <is>
          <t>2 Soft Phulkas (80g) + 2 Boiled Eggs in Onion-Tomato Gravy (120g gravy) + Ridge Gourd (Heerekayi) Palya (140g) [450 kcal, 22g P, 48g C, 17g F, ₹45]</t>
        </is>
      </c>
      <c r="J87" s="11" t="inlineStr">
        <is>
          <t>Sona Masoori Rice (150g) + Fish Curry (120g rohu/pomfret in light coconut gravy) + Beans Poriyal (120g) [460 kcal, 32g P, 46g C, 13g F, ₹80]</t>
        </is>
      </c>
      <c r="K87" s="11" t="inlineStr">
        <is>
          <t>Cooked Rice (150g) + Mixed Vegetable Sambar (180g) + Pan-seared Tofu or Paneer (80g) + Cucumber Slices [465 kcal, 21g P, 52g C, 17g F, ₹55]</t>
        </is>
      </c>
      <c r="L87" s="11" t="inlineStr">
        <is>
          <t>Boiled Sweet Corn (120g) with lemon squeeze &amp; chaat masala [120 kcal, 4g P, 24g C, 1.5g F, ₹20] | Alt: Roasted Kadale / Chana (30g) + Warm Elaichi Green Tea [125 kcal, 6g P, 18g C, 2.5g F, ₹15]</t>
        </is>
      </c>
      <c r="M87" s="11" t="inlineStr">
        <is>
          <t>2 Soft Phulkas (75g) + Fresh Paneer Bhurji (90g paneer, capsicum, tomato) + Warm Tomato Rasam (150ml) [445 kcal, 21g P, 44g C, 19g F, ₹60]</t>
        </is>
      </c>
      <c r="N87" s="11" t="inlineStr">
        <is>
          <t>2 Ragi Rotis (130g) + Chicken Curry (90g cooked meat) + Onion Cucumber Raita (80g) [430 kcal, 30g P, 46g C, 11g F, ₹70]</t>
        </is>
      </c>
      <c r="O87" s="11" t="inlineStr">
        <is>
          <t>Moong Dal Vegetable Dalia Khichdi (220g) + Fresh Curd (100g) [390 kcal, 16g P, 54g C, 9g F, ₹35]</t>
        </is>
      </c>
      <c r="P87" s="11" t="inlineStr">
        <is>
          <t>Optional Pre: 2 Medjool dates [80 kcal] • Post: 1 boiled egg white or 100g warm milk [55 kcal, 4g P]</t>
        </is>
      </c>
      <c r="Q87" s="12" t="n">
        <v>1390</v>
      </c>
      <c r="R87" s="12" t="n">
        <v>63</v>
      </c>
      <c r="S87" s="12" t="n">
        <v>164</v>
      </c>
      <c r="T87" s="12" t="n">
        <v>50</v>
      </c>
      <c r="U87" s="12" t="n">
        <v>168</v>
      </c>
      <c r="V87" s="11" t="inlineStr">
        <is>
          <t>Rinse thick poha in colander, drain well. Sauté with onion, curry leaves, carrots &amp; roasted peanuts. Prick boiled eggs gently before simmering in gravy to absorb rich flavours.</t>
        </is>
      </c>
    </row>
    <row r="88" ht="36" customHeight="1">
      <c r="A88" s="7" t="inlineStr">
        <is>
          <t>2027-01-18</t>
        </is>
      </c>
      <c r="B88" s="7" t="n">
        <v>87</v>
      </c>
      <c r="C88" s="7" t="inlineStr">
        <is>
          <t>Monday</t>
        </is>
      </c>
      <c r="D88" s="8" t="inlineStr">
        <is>
          <t>Bengaluru Rava Upma &amp; Fresh Coastal Home Curry</t>
        </is>
      </c>
      <c r="E88" s="8" t="inlineStr">
        <is>
          <t>Bengaluru Vegetable Rava Upma (180g cooked) with roasted peanuts + 1 Boiled Egg [340 kcal, 14g P, 44g C, 12g F, ₹26]</t>
        </is>
      </c>
      <c r="F88" s="8" t="inlineStr">
        <is>
          <t>Vegetable Upma (180g) + 1 glass warm toned milk (150ml) [320 kcal, 11g P, 48g C, 9g F, ₹24]</t>
        </is>
      </c>
      <c r="G88" s="8" t="inlineStr">
        <is>
          <t>Steamed Idlis (3 pcs) with Mint Toor Dal Chutney (40g) + 1 Boiled Egg [320 kcal, 15g P, 42g C, 9g F, ₹28]</t>
        </is>
      </c>
      <c r="H88" s="8" t="inlineStr">
        <is>
          <t>Fresh Fruit Bowl (150g watermelon or papaya) + 6 soaked almonds [110 kcal, 3g P, 22g C, 3g F, ₹30] | Alt: Tender Coconut Water (220ml) [45 kcal, 1g P, 10g C, 0g F, ₹35]</t>
        </is>
      </c>
      <c r="I88" s="8" t="inlineStr">
        <is>
          <t>Sona Masoori Rice (150g cooked) + Bengaluru Fish Curry (120g fresh fish in light gravy) + Cabbage &amp; Pea Poriyal (130g) + Rasam [450 kcal, 33g P, 46g C, 13g F, ₹80]</t>
        </is>
      </c>
      <c r="J88" s="8" t="inlineStr">
        <is>
          <t>2 Phulkas (80g) + Chicken Curry (95g cooked meat) + Cucumber Carrot Salad (100g) [440 kcal, 31g P, 44g C, 13g F, ₹65]</t>
        </is>
      </c>
      <c r="K88" s="8" t="inlineStr">
        <is>
          <t>Rice (150g) + Thick Chana Dal (180g) + Beans Palya (130g) + Fresh Curd (100g) [470 kcal, 22g P, 56g C, 15g F, ₹45]</t>
        </is>
      </c>
      <c r="L88" s="8" t="inlineStr">
        <is>
          <t>Roasted Puri Kadale / Chana (30g) + Warm Ginger Tea (100ml low-fat milk) [140 kcal, 6g P, 20g C, 3.5g F, ₹18] | Alt: Spiced Boiled Moong Sprouts (80g) with lime &amp; salt [110 kcal, 7g P, 18g C, 1g F, ₹15]</t>
        </is>
      </c>
      <c r="M88" s="8" t="inlineStr">
        <is>
          <t>2 Soft Phulkas (75g) + Soya Chunks &amp; Green Pea Curry (45g dry soya + 50g peas) + Fresh Curd (80g) [420 kcal, 29g P, 48g C, 9g F, ₹40]</t>
        </is>
      </c>
      <c r="N88" s="8" t="inlineStr">
        <is>
          <t>2 Phulkas (75g) + 2 Boiled Eggs in Homestyle Curry (100g) + Sliced Cucumber [410 kcal, 21g P, 42g C, 15g F, ₹38]</t>
        </is>
      </c>
      <c r="O88" s="8" t="inlineStr">
        <is>
          <t>2 Ragi Rotis (120g) + Mixed Vegetable Sambar (180ml) + Sautéed Palak (100g) [380 kcal, 14g P, 54g C, 8g F, ₹30]</t>
        </is>
      </c>
      <c r="P88" s="8" t="inlineStr">
        <is>
          <t>Optional Pre: 1 cup tender coconut water [45 kcal] • Post: 1 glass warm milk (150ml) [85 kcal, 5g P]</t>
        </is>
      </c>
      <c r="Q88" s="9" t="n">
        <v>1460</v>
      </c>
      <c r="R88" s="9" t="n">
        <v>85</v>
      </c>
      <c r="S88" s="9" t="n">
        <v>180</v>
      </c>
      <c r="T88" s="9" t="n">
        <v>40.5</v>
      </c>
      <c r="U88" s="9" t="n">
        <v>194</v>
      </c>
      <c r="V88" s="8" t="inlineStr">
        <is>
          <t>Dry roast semolina lightly. Tempered with mustard seeds, chana dal, green chillies &amp; mixed veggies. Use fresh local fish cuts (rohu, pomfret, or seer fish). Simmer gently for 8 mins.</t>
        </is>
      </c>
    </row>
    <row r="89" ht="36" customHeight="1">
      <c r="A89" s="10" t="inlineStr">
        <is>
          <t>2027-01-19</t>
        </is>
      </c>
      <c r="B89" s="10" t="n">
        <v>88</v>
      </c>
      <c r="C89" s="10" t="inlineStr">
        <is>
          <t>Tuesday</t>
        </is>
      </c>
      <c r="D89" s="11" t="inlineStr">
        <is>
          <t>Nourishing Rolled Oats &amp; Tender Chicken Palya</t>
        </is>
      </c>
      <c r="E89" s="11" t="inlineStr">
        <is>
          <t>Warm Rolled Oats (40g dry + 180ml toned milk) + 1 Boiled Egg + Apple slices (50g) [345 kcal, 18g P, 46g C, 10g F, ₹35]</t>
        </is>
      </c>
      <c r="F89" s="11" t="inlineStr">
        <is>
          <t>Vegetable Poha (160g cooked) + 2 Boiled Eggs [360 kcal, 18g P, 42g C, 14g F, ₹32]</t>
        </is>
      </c>
      <c r="G89" s="11" t="inlineStr">
        <is>
          <t>2 Plain Dosas (120g) + Toor Dal Sambar (150ml) + 1 cup warm sprouted moong [330 kcal, 14g P, 48g C, 7g F, ₹25]</t>
        </is>
      </c>
      <c r="H89" s="11" t="inlineStr">
        <is>
          <t>Tender Coconut Water (220ml) + 5 Soaked Almonds [95 kcal, 3g P, 12g C, 4g F, ₹40] | Alt: Fresh Spiced Buttermilk (220ml) with coriander &amp; rock salt [45 kcal, 3g P, 4g C, 1.5g F, ₹15]</t>
        </is>
      </c>
      <c r="I89" s="11" t="inlineStr">
        <is>
          <t>Sona Masoori Rice (150g cooked) + Tender Chicken Curry (130g raw / 95g meat) + Palak (Spinach) Palya (140g) + Rasam [470 kcal, 35g P, 46g C, 13g F, ₹75]</t>
        </is>
      </c>
      <c r="J89" s="11" t="inlineStr">
        <is>
          <t>2 Soft Phulkas (80g) + Fresh Paneer Curry (85g paneer in light gravy) + French Beans Palya (120g) [450 kcal, 21g P, 44g C, 19g F, ₹55]</t>
        </is>
      </c>
      <c r="K89" s="11" t="inlineStr">
        <is>
          <t>Rice (150g) + Toor Dal Tadka (180g) + 2 Boiled Eggs + Beetroot Poriyal (120g) [460 kcal, 25g P, 52g C, 14g F, ₹42]</t>
        </is>
      </c>
      <c r="L89" s="11" t="inlineStr">
        <is>
          <t>Roasted Makhana (30g) + Hot Green Tea with lemon [130 kcal, 3g P, 21g C, 3.5g F, ₹25] | Alt: Boiled Chickpeas Sundal (70g) with mustard &amp; curry leaves [125 kcal, 6g P, 20g C, 2.5g F, ₹18]</t>
        </is>
      </c>
      <c r="M89" s="11" t="inlineStr">
        <is>
          <t>2 Soft Phulkas (75g) + 2 Boiled Eggs in Tomato Onion Curry + Cucumber Salad (100g) [415 kcal, 21g P, 42g C, 15g F, ₹38]</t>
        </is>
      </c>
      <c r="N89" s="11" t="inlineStr">
        <is>
          <t>2 Phulkas (75g) + Grilled Chicken Strips (100g cooked) + Mixed Sautéed Capsicum &amp; Onions [425 kcal, 32g P, 40g C, 11g F, ₹65]</t>
        </is>
      </c>
      <c r="O89" s="11" t="inlineStr">
        <is>
          <t>Warm Moong Dal Vegetable Khichdi (220g) + Fresh Curd (100g) [380 kcal, 15g P, 56g C, 8g F, ₹35]</t>
        </is>
      </c>
      <c r="P89" s="11" t="inlineStr">
        <is>
          <t>Optional Pre: 1 small banana [70 kcal] • Post: 1 cup warm turmeric milk [90 kcal, 6g P]</t>
        </is>
      </c>
      <c r="Q89" s="12" t="n">
        <v>1455</v>
      </c>
      <c r="R89" s="12" t="n">
        <v>80</v>
      </c>
      <c r="S89" s="12" t="n">
        <v>167</v>
      </c>
      <c r="T89" s="12" t="n">
        <v>45.5</v>
      </c>
      <c r="U89" s="12" t="n">
        <v>213</v>
      </c>
      <c r="V89" s="11" t="inlineStr">
        <is>
          <t>Cook oats in milk for 4 mins on medium flame. Stir in pinch of cinnamon powder. Weigh raw boneless chicken (130g). Steam spinach lightly with mustard tempering.</t>
        </is>
      </c>
    </row>
    <row r="90" ht="36" customHeight="1">
      <c r="A90" s="7" t="inlineStr">
        <is>
          <t>2027-01-20</t>
        </is>
      </c>
      <c r="B90" s="7" t="n">
        <v>89</v>
      </c>
      <c r="C90" s="7" t="inlineStr">
        <is>
          <t>Wednesday</t>
        </is>
      </c>
      <c r="D90" s="8" t="inlineStr">
        <is>
          <t>Calcium-Rich Ragi Dosa &amp; Fresh Country Egg Feast</t>
        </is>
      </c>
      <c r="E90" s="8" t="inlineStr">
        <is>
          <t>Ragi Dosa (2 medium, 120g) + Coconut Mint Chutney (30g) + 2 Boiled Eggs [350 kcal, 19g P, 40g C, 13g F, ₹35]</t>
        </is>
      </c>
      <c r="F90" s="8" t="inlineStr">
        <is>
          <t>Steamed Idlis (3 pcs, 110g) + Vegetable Sambar (150ml) + 1 Boiled Egg [310 kcal, 13g P, 44g C, 8g F, ₹25]</t>
        </is>
      </c>
      <c r="G90" s="8" t="inlineStr">
        <is>
          <t>Vegetable Upma (180g) + Warm Toned Milk (150ml) [320 kcal, 11g P, 48g C, 9g F, ₹22]</t>
        </is>
      </c>
      <c r="H90" s="8" t="inlineStr">
        <is>
          <t>Fresh Seasonal Fruit (1 Medium Apple or 150g Papaya) + 6 Almonds [115 kcal, 3g P, 22g C, 3.5g F, ₹30] | Alt: Tender Coconut Water (220ml) [45 kcal, 1g P, 10g C, 0g F, ₹35]</t>
        </is>
      </c>
      <c r="I90" s="8" t="inlineStr">
        <is>
          <t>2 Soft Phulkas (80g) + Homestyle Egg Curry (2 eggs) + Cabbage &amp; Carrot Poriyal (140g) + Rasam [445 kcal, 22g P, 48g C, 16g F, ₹42]</t>
        </is>
      </c>
      <c r="J90" s="8" t="inlineStr">
        <is>
          <t>Sona Masoori Rice (150g) + Bengaluru Chicken Curry (95g meat) + Beans Palya (120g) [475 kcal, 34g P, 48g C, 14g F, ₹75]</t>
        </is>
      </c>
      <c r="K90" s="8" t="inlineStr">
        <is>
          <t>Rice (150g) + Thick Toor Dal Tadka (180g) + Fresh Curd (100g) + Tomato Cucumber Salad [440 kcal, 18g P, 56g C, 14g F, ₹40]</t>
        </is>
      </c>
      <c r="L90" s="8" t="inlineStr">
        <is>
          <t>Spiced Boiled Sundal / Chickpeas (80g) with lime [140 kcal, 7g P, 22g C, 3g F, ₹20] | Alt: Roasted Makhana (30g) in 1/2 tsp ghee &amp; rock salt [130 kcal, 3g P, 21g C, 3.5g F, ₹25]</t>
        </is>
      </c>
      <c r="M90" s="8" t="inlineStr">
        <is>
          <t>2 Soft Phulkas (75g) + Home Chicken Curry (100g meat) + Cucumber Salad (100g) [420 kcal, 31g P, 42g C, 12g F, ₹65]</t>
        </is>
      </c>
      <c r="N90" s="8" t="inlineStr">
        <is>
          <t>2 Phulkas (75g) + Fresh Paneer Bhurji (90g paneer, capsicum, onion) + Clear Soup [440 kcal, 20g P, 42g C, 20g F, ₹55]</t>
        </is>
      </c>
      <c r="O90" s="8" t="inlineStr">
        <is>
          <t>Rice-Moong Dal Khichdi (220g) + Curd (100g) + Lauki Sabzi (120g) [385 kcal, 14g P, 58g C, 8.5g F, ₹35]</t>
        </is>
      </c>
      <c r="P90" s="8" t="inlineStr">
        <is>
          <t>Optional Pre: 1 cup tender coconut water [45 kcal] • Post: 1 glass warm milk (150ml) [85 kcal, 5g P]</t>
        </is>
      </c>
      <c r="Q90" s="9" t="n">
        <v>1470</v>
      </c>
      <c r="R90" s="9" t="n">
        <v>82</v>
      </c>
      <c r="S90" s="9" t="n">
        <v>174</v>
      </c>
      <c r="T90" s="9" t="n">
        <v>47.5</v>
      </c>
      <c r="U90" s="9" t="n">
        <v>192</v>
      </c>
      <c r="V90" s="8" t="inlineStr">
        <is>
          <t>Mix ragi flour with equal water, pinch of salt, cumin seeds &amp; chopped onion. Pour on medium hot tawa. Cook vegetables in minimum oil with mustard seeds, curry leaves &amp; grated fresh coconut.</t>
        </is>
      </c>
    </row>
    <row r="91" ht="36" customHeight="1">
      <c r="A91" s="10" t="inlineStr">
        <is>
          <t>2027-01-21</t>
        </is>
      </c>
      <c r="B91" s="10" t="n">
        <v>90</v>
      </c>
      <c r="C91" s="10" t="inlineStr">
        <is>
          <t>Thursday</t>
        </is>
      </c>
      <c r="D91" s="11" t="inlineStr">
        <is>
          <t>High-Fiber Soya Chunks &amp; Comfort Idli Sambar</t>
        </is>
      </c>
      <c r="E91" s="11" t="inlineStr">
        <is>
          <t>Steamed Idlis (3 pcs, 110g) + Vegetable Sambar (150ml) + 2 Boiled Eggs [340 kcal, 19g P, 38g C, 12g F, ₹35]</t>
        </is>
      </c>
      <c r="F91" s="11" t="inlineStr">
        <is>
          <t>Vegetable Poha (160g cooked) + 1 Boiled Egg [310 kcal, 12g P, 44g C, 9g F, ₹26]</t>
        </is>
      </c>
      <c r="G91" s="11" t="inlineStr">
        <is>
          <t>Rolled Oats cooked in toned milk (40g + 180ml milk) with 1/2 apple [290 kcal, 12g P, 45g C, 6g F, ₹30]</t>
        </is>
      </c>
      <c r="H91" s="11" t="inlineStr">
        <is>
          <t>Spiced Buttermilk / Majjige (220ml) with curry leaves &amp; ginger [45 kcal, 3g P, 4g C, 1.5g F, ₹15] | Alt: Fresh Papaya slices (150g) + 5 almonds [110 kcal, 3g P, 22g C, 3g F, ₹28]</t>
        </is>
      </c>
      <c r="I91" s="11" t="inlineStr">
        <is>
          <t>Sona Masoori Rice (150g cooked) + Soya Chunks Curry (45g dry soya chunks cooked in onion-tomato gravy) + French Beans Palya (130g) + Rasam [460 kcal, 31g P, 56g C, 9g F, ₹42]</t>
        </is>
      </c>
      <c r="J91" s="11" t="inlineStr">
        <is>
          <t>2 Phulkas (80g) + Chicken Curry (95g meat) + Cabbage Poriyal (120g) [440 kcal, 31g P, 44g C, 13g F, ₹65]</t>
        </is>
      </c>
      <c r="K91" s="11" t="inlineStr">
        <is>
          <t>Rice (150g) + Thick Toor Dal (180g) + 2 Boiled Eggs + Ridge Gourd Palya (120g) [455 kcal, 24g P, 52g C, 14g F, ₹40]</t>
        </is>
      </c>
      <c r="L91" s="11" t="inlineStr">
        <is>
          <t>Roasted Kadale / Chana (30g) + Hot Elaichi Tea (100ml milk) [140 kcal, 6g P, 20g C, 3.5g F, ₹18] | Alt: Roasted Makhana (30g) in ghee &amp; rock salt [130 kcal, 3g P, 21g C, 3.5g F, ₹25]</t>
        </is>
      </c>
      <c r="M91" s="11" t="inlineStr">
        <is>
          <t>2 Soft Phulkas (75g) + 2 Boiled Eggs in Mild Curry + Cucumber Carrot Salad (120g) [415 kcal, 21g P, 42g C, 15g F, ₹38]</t>
        </is>
      </c>
      <c r="N91" s="11" t="inlineStr">
        <is>
          <t>2 Phulkas (75g) + Paneer Bhurji (90g paneer, capsicum, tomato) + Warm Soup [445 kcal, 20g P, 44g C, 19g F, ₹58]</t>
        </is>
      </c>
      <c r="O91" s="11" t="inlineStr">
        <is>
          <t>2 Ragi Rotis (120g) + Chicken Curry (90g meat) + Cucumber Slices [425 kcal, 30g P, 46g C, 11g F, ₹68]</t>
        </is>
      </c>
      <c r="P91" s="11" t="inlineStr">
        <is>
          <t>Optional Pre: 1 small banana [70 kcal] • Post: 1 glass warm milk [90 kcal, 6g P]</t>
        </is>
      </c>
      <c r="Q91" s="12" t="n">
        <v>1400</v>
      </c>
      <c r="R91" s="12" t="n">
        <v>80</v>
      </c>
      <c r="S91" s="12" t="n">
        <v>160</v>
      </c>
      <c r="T91" s="12" t="n">
        <v>41</v>
      </c>
      <c r="U91" s="12" t="n">
        <v>151</v>
      </c>
      <c r="V91" s="11" t="inlineStr">
        <is>
          <t>Dip idlis in piping hot sambar. Eggs provide complete amino acid profile. Soak soya chunks in warm water for 15 mins. Squeeze out bitter water completely before cooking.</t>
        </is>
      </c>
    </row>
    <row r="92" ht="36" customHeight="1">
      <c r="A92" s="7" t="inlineStr">
        <is>
          <t>2027-01-22</t>
        </is>
      </c>
      <c r="B92" s="7" t="n">
        <v>91</v>
      </c>
      <c r="C92" s="7" t="inlineStr">
        <is>
          <t>Friday</t>
        </is>
      </c>
      <c r="D92" s="8" t="inlineStr">
        <is>
          <t>Comfort Steamed Staples &amp; Bengaluru Chicken Curry</t>
        </is>
      </c>
      <c r="E92" s="8" t="inlineStr">
        <is>
          <t>Steamed Idlis (3 pcs, 110g) + Veg Sambar (150ml) + 2 Boiled Eggs (100g) [340 kcal, 19g P, 38g C, 12g F, ₹35]</t>
        </is>
      </c>
      <c r="F92" s="8" t="inlineStr">
        <is>
          <t>Steamed Idlis (3 pcs) + Veg Sambar + 1 cup warm sprouted moong salad (100g) [310 kcal, 13g P, 46g C, 5g F, ₹25]</t>
        </is>
      </c>
      <c r="G92" s="8" t="inlineStr">
        <is>
          <t>Ragi Dosa (2 medium, 120g) + Mint Chutney (30g) + 1 Boiled Egg [320 kcal, 14g P, 42g C, 11g F, ₹28]</t>
        </is>
      </c>
      <c r="H92" s="8" t="inlineStr">
        <is>
          <t>Tender Coconut Water (220ml) + Handful Roasted Chana (25g) [130 kcal, 5g P, 22g C, 2g F, ₹40] | Alt: Fresh Papaya slices (150g) + 5 soaked almonds [110 kcal, 3g P, 22g C, 3g F, ₹30]</t>
        </is>
      </c>
      <c r="I92" s="8" t="inlineStr">
        <is>
          <t>Sona Masoori Rice (150g cooked / 55g raw) + Bengaluru Chicken Curry (130g raw / 95g cooked meat) + French Beans Palya (130g) + Pepper Rasam [475 kcal, 34g P, 48g C, 14g F, ₹75]</t>
        </is>
      </c>
      <c r="J92" s="8" t="inlineStr">
        <is>
          <t>2 Soft Wheat Phulkas (80g) + Homestyle Egg Curry (2 eggs in onion-tomato gravy) + Cabbage Poriyal (140g) [440 kcal, 21g P, 48g C, 16g F, ₹40]</t>
        </is>
      </c>
      <c r="K92" s="8" t="inlineStr">
        <is>
          <t>Sona Masoori Rice (150g) + Thick Toor Dal Tadka (180g) + Paneer Palya (80g paneer) + Fresh Curd (100g) [480 kcal, 23g P, 54g C, 18g F, ₹55]</t>
        </is>
      </c>
      <c r="L92" s="8" t="inlineStr">
        <is>
          <t>Spiced Boiled Sundal / Chickpeas (80g) with mustard tempering &amp; lemon [140 kcal, 7g P, 22g C, 3g F, ₹20] | Alt: Roasted Makhana (30g) in 1/2 tsp ghee &amp; rock salt [130 kcal, 3g P, 21g C, 3.5g F, ₹25]</t>
        </is>
      </c>
      <c r="M92" s="8" t="inlineStr">
        <is>
          <t>2 Soft Whole Wheat Phulkas (75g) + Grilled/Pan Chicken Curry (100g meat) + Cucumber Tomato Salad (120g) [420 kcal, 31g P, 42g C, 12g F, ₹65]</t>
        </is>
      </c>
      <c r="N92" s="8" t="inlineStr">
        <is>
          <t>2 Phulkas (75g) + Fresh Paneer Bhurji (90g paneer with capsicum &amp; onion) + Tomato Clear Soup [440 kcal, 20g P, 42g C, 20g F, ₹55]</t>
        </is>
      </c>
      <c r="O92" s="8" t="inlineStr">
        <is>
          <t>Warm Rice-Moong Dal Khichdi (220g) + Fresh Curd (100g) + Steamed Beetroot Poriyal (100g) [380 kcal, 14g P, 58g C, 8g F, ₹35]</t>
        </is>
      </c>
      <c r="P92" s="8" t="inlineStr">
        <is>
          <t>Optional Pre: 1 small banana (80g) [70 kcal] • Post: 1 glass warm toned milk with turmeric (180ml) [95 kcal, 6g P]</t>
        </is>
      </c>
      <c r="Q92" s="9" t="n">
        <v>1505</v>
      </c>
      <c r="R92" s="9" t="n">
        <v>96</v>
      </c>
      <c r="S92" s="9" t="n">
        <v>172</v>
      </c>
      <c r="T92" s="9" t="n">
        <v>43</v>
      </c>
      <c r="U92" s="9" t="n">
        <v>235</v>
      </c>
      <c r="V92" s="8" t="inlineStr">
        <is>
          <t>Steam idlis in idli cooker for 10-12 mins. Weigh 110g cooked on kitchen scale. Zero plate on scale, measure 150g warm rice, then add 95g cooked chicken meat without bones.</t>
        </is>
      </c>
    </row>
    <row r="93" ht="36" customHeight="1">
      <c r="A93" s="10" t="inlineStr">
        <is>
          <t>2027-01-23</t>
        </is>
      </c>
      <c r="B93" s="10" t="n">
        <v>92</v>
      </c>
      <c r="C93" s="10" t="inlineStr">
        <is>
          <t>Saturday</t>
        </is>
      </c>
      <c r="D93" s="11" t="inlineStr">
        <is>
          <t>Iron-Rich Poha, Egg Curry &amp; Golden Turmeric Phulkas</t>
        </is>
      </c>
      <c r="E93" s="11" t="inlineStr">
        <is>
          <t>Vegetable Poha (160g cooked) tempered with mustard &amp; roasted peanuts (15g) + 1 Boiled Egg [330 kcal, 13g P, 44g C, 11g F, ₹28]</t>
        </is>
      </c>
      <c r="F93" s="11" t="inlineStr">
        <is>
          <t>Vegetable Poha (180g) + 1 glass warm toned milk (150ml) [310 kcal, 11g P, 48g C, 8g F, ₹24]</t>
        </is>
      </c>
      <c r="G93" s="11" t="inlineStr">
        <is>
          <t>Rolled Oats cooked in milk (40g oats + 180ml toned milk) with half diced apple [290 kcal, 12g P, 45g C, 6g F, ₹30]</t>
        </is>
      </c>
      <c r="H93" s="11" t="inlineStr">
        <is>
          <t>Spiced Majjige / Buttermilk (220ml) with grated ginger &amp; curry leaves [45 kcal, 3g P, 4g C, 1.5g F, ₹15] | Alt: 1 Crisp Guava or Apple (130g) with pinch of rock salt [75 kcal, 1.5g P, 18g C, 0.5g F, ₹20]</t>
        </is>
      </c>
      <c r="I93" s="11" t="inlineStr">
        <is>
          <t>2 Soft Phulkas (80g) + 2 Boiled Eggs in Onion-Tomato Gravy (120g gravy) + Ridge Gourd (Heerekayi) Palya (140g) [450 kcal, 22g P, 48g C, 17g F, ₹45]</t>
        </is>
      </c>
      <c r="J93" s="11" t="inlineStr">
        <is>
          <t>Sona Masoori Rice (150g) + Fish Curry (120g rohu/pomfret in light coconut gravy) + Beans Poriyal (120g) [460 kcal, 32g P, 46g C, 13g F, ₹80]</t>
        </is>
      </c>
      <c r="K93" s="11" t="inlineStr">
        <is>
          <t>Cooked Rice (150g) + Mixed Vegetable Sambar (180g) + Pan-seared Tofu or Paneer (80g) + Cucumber Slices [465 kcal, 21g P, 52g C, 17g F, ₹55]</t>
        </is>
      </c>
      <c r="L93" s="11" t="inlineStr">
        <is>
          <t>Boiled Sweet Corn (120g) with lemon squeeze &amp; chaat masala [120 kcal, 4g P, 24g C, 1.5g F, ₹20] | Alt: Roasted Kadale / Chana (30g) + Warm Elaichi Green Tea [125 kcal, 6g P, 18g C, 2.5g F, ₹15]</t>
        </is>
      </c>
      <c r="M93" s="11" t="inlineStr">
        <is>
          <t>2 Soft Phulkas (75g) + Fresh Paneer Bhurji (90g paneer, capsicum, tomato) + Warm Tomato Rasam (150ml) [445 kcal, 21g P, 44g C, 19g F, ₹60]</t>
        </is>
      </c>
      <c r="N93" s="11" t="inlineStr">
        <is>
          <t>2 Ragi Rotis (130g) + Chicken Curry (90g cooked meat) + Onion Cucumber Raita (80g) [430 kcal, 30g P, 46g C, 11g F, ₹70]</t>
        </is>
      </c>
      <c r="O93" s="11" t="inlineStr">
        <is>
          <t>Moong Dal Vegetable Dalia Khichdi (220g) + Fresh Curd (100g) [390 kcal, 16g P, 54g C, 9g F, ₹35]</t>
        </is>
      </c>
      <c r="P93" s="11" t="inlineStr">
        <is>
          <t>Optional Pre: 2 Medjool dates [80 kcal] • Post: 1 boiled egg white or 100g warm milk [55 kcal, 4g P]</t>
        </is>
      </c>
      <c r="Q93" s="12" t="n">
        <v>1390</v>
      </c>
      <c r="R93" s="12" t="n">
        <v>63</v>
      </c>
      <c r="S93" s="12" t="n">
        <v>164</v>
      </c>
      <c r="T93" s="12" t="n">
        <v>50</v>
      </c>
      <c r="U93" s="12" t="n">
        <v>168</v>
      </c>
      <c r="V93" s="11" t="inlineStr">
        <is>
          <t>Rinse thick poha in colander, drain well. Sauté with onion, curry leaves, carrots &amp; roasted peanuts. Prick boiled eggs gently before simmering in gravy to absorb rich flavours.</t>
        </is>
      </c>
    </row>
    <row r="94" ht="36" customHeight="1">
      <c r="A94" s="7" t="inlineStr">
        <is>
          <t>2027-01-24</t>
        </is>
      </c>
      <c r="B94" s="7" t="n">
        <v>93</v>
      </c>
      <c r="C94" s="7" t="inlineStr">
        <is>
          <t>Sunday</t>
        </is>
      </c>
      <c r="D94" s="8" t="inlineStr">
        <is>
          <t>Bengaluru Rava Upma &amp; Fresh Coastal Home Curry</t>
        </is>
      </c>
      <c r="E94" s="8" t="inlineStr">
        <is>
          <t>Bengaluru Vegetable Rava Upma (180g cooked) with roasted peanuts + 1 Boiled Egg [340 kcal, 14g P, 44g C, 12g F, ₹26]</t>
        </is>
      </c>
      <c r="F94" s="8" t="inlineStr">
        <is>
          <t>Vegetable Upma (180g) + 1 glass warm toned milk (150ml) [320 kcal, 11g P, 48g C, 9g F, ₹24]</t>
        </is>
      </c>
      <c r="G94" s="8" t="inlineStr">
        <is>
          <t>Steamed Idlis (3 pcs) with Mint Toor Dal Chutney (40g) + 1 Boiled Egg [320 kcal, 15g P, 42g C, 9g F, ₹28]</t>
        </is>
      </c>
      <c r="H94" s="8" t="inlineStr">
        <is>
          <t>Fresh Fruit Bowl (150g watermelon or papaya) + 6 soaked almonds [110 kcal, 3g P, 22g C, 3g F, ₹30] | Alt: Tender Coconut Water (220ml) [45 kcal, 1g P, 10g C, 0g F, ₹35]</t>
        </is>
      </c>
      <c r="I94" s="8" t="inlineStr">
        <is>
          <t>Sona Masoori Rice (150g cooked) + Bengaluru Fish Curry (120g fresh fish in light gravy) + Cabbage &amp; Pea Poriyal (130g) + Rasam [450 kcal, 33g P, 46g C, 13g F, ₹80]</t>
        </is>
      </c>
      <c r="J94" s="8" t="inlineStr">
        <is>
          <t>2 Phulkas (80g) + Chicken Curry (95g cooked meat) + Cucumber Carrot Salad (100g) [440 kcal, 31g P, 44g C, 13g F, ₹65]</t>
        </is>
      </c>
      <c r="K94" s="8" t="inlineStr">
        <is>
          <t>Rice (150g) + Thick Chana Dal (180g) + Beans Palya (130g) + Fresh Curd (100g) [470 kcal, 22g P, 56g C, 15g F, ₹45]</t>
        </is>
      </c>
      <c r="L94" s="8" t="inlineStr">
        <is>
          <t>Roasted Puri Kadale / Chana (30g) + Warm Ginger Tea (100ml low-fat milk) [140 kcal, 6g P, 20g C, 3.5g F, ₹18] | Alt: Spiced Boiled Moong Sprouts (80g) with lime &amp; salt [110 kcal, 7g P, 18g C, 1g F, ₹15]</t>
        </is>
      </c>
      <c r="M94" s="8" t="inlineStr">
        <is>
          <t>2 Soft Phulkas (75g) + Soya Chunks &amp; Green Pea Curry (45g dry soya + 50g peas) + Fresh Curd (80g) [420 kcal, 29g P, 48g C, 9g F, ₹40]</t>
        </is>
      </c>
      <c r="N94" s="8" t="inlineStr">
        <is>
          <t>2 Phulkas (75g) + 2 Boiled Eggs in Homestyle Curry (100g) + Sliced Cucumber [410 kcal, 21g P, 42g C, 15g F, ₹38]</t>
        </is>
      </c>
      <c r="O94" s="8" t="inlineStr">
        <is>
          <t>2 Ragi Rotis (120g) + Mixed Vegetable Sambar (180ml) + Sautéed Palak (100g) [380 kcal, 14g P, 54g C, 8g F, ₹30]</t>
        </is>
      </c>
      <c r="P94" s="8" t="inlineStr">
        <is>
          <t>Optional Pre: 1 cup tender coconut water [45 kcal] • Post: 1 glass warm milk (150ml) [85 kcal, 5g P]</t>
        </is>
      </c>
      <c r="Q94" s="9" t="n">
        <v>1460</v>
      </c>
      <c r="R94" s="9" t="n">
        <v>85</v>
      </c>
      <c r="S94" s="9" t="n">
        <v>180</v>
      </c>
      <c r="T94" s="9" t="n">
        <v>40.5</v>
      </c>
      <c r="U94" s="9" t="n">
        <v>194</v>
      </c>
      <c r="V94" s="8" t="inlineStr">
        <is>
          <t>Dry roast semolina lightly. Tempered with mustard seeds, chana dal, green chillies &amp; mixed veggies. Use fresh local fish cuts (rohu, pomfret, or seer fish). Simmer gently for 8 mins.</t>
        </is>
      </c>
    </row>
    <row r="95" ht="36" customHeight="1">
      <c r="A95" s="10" t="inlineStr">
        <is>
          <t>2027-01-25</t>
        </is>
      </c>
      <c r="B95" s="10" t="n">
        <v>94</v>
      </c>
      <c r="C95" s="10" t="inlineStr">
        <is>
          <t>Monday</t>
        </is>
      </c>
      <c r="D95" s="11" t="inlineStr">
        <is>
          <t>Nourishing Rolled Oats &amp; Tender Chicken Palya</t>
        </is>
      </c>
      <c r="E95" s="11" t="inlineStr">
        <is>
          <t>Warm Rolled Oats (40g dry + 180ml toned milk) + 1 Boiled Egg + Apple slices (50g) [345 kcal, 18g P, 46g C, 10g F, ₹35]</t>
        </is>
      </c>
      <c r="F95" s="11" t="inlineStr">
        <is>
          <t>Vegetable Poha (160g cooked) + 2 Boiled Eggs [360 kcal, 18g P, 42g C, 14g F, ₹32]</t>
        </is>
      </c>
      <c r="G95" s="11" t="inlineStr">
        <is>
          <t>2 Plain Dosas (120g) + Toor Dal Sambar (150ml) + 1 cup warm sprouted moong [330 kcal, 14g P, 48g C, 7g F, ₹25]</t>
        </is>
      </c>
      <c r="H95" s="11" t="inlineStr">
        <is>
          <t>Tender Coconut Water (220ml) + 5 Soaked Almonds [95 kcal, 3g P, 12g C, 4g F, ₹40] | Alt: Fresh Spiced Buttermilk (220ml) with coriander &amp; rock salt [45 kcal, 3g P, 4g C, 1.5g F, ₹15]</t>
        </is>
      </c>
      <c r="I95" s="11" t="inlineStr">
        <is>
          <t>Sona Masoori Rice (150g cooked) + Tender Chicken Curry (130g raw / 95g meat) + Palak (Spinach) Palya (140g) + Rasam [470 kcal, 35g P, 46g C, 13g F, ₹75]</t>
        </is>
      </c>
      <c r="J95" s="11" t="inlineStr">
        <is>
          <t>2 Soft Phulkas (80g) + Fresh Paneer Curry (85g paneer in light gravy) + French Beans Palya (120g) [450 kcal, 21g P, 44g C, 19g F, ₹55]</t>
        </is>
      </c>
      <c r="K95" s="11" t="inlineStr">
        <is>
          <t>Rice (150g) + Toor Dal Tadka (180g) + 2 Boiled Eggs + Beetroot Poriyal (120g) [460 kcal, 25g P, 52g C, 14g F, ₹42]</t>
        </is>
      </c>
      <c r="L95" s="11" t="inlineStr">
        <is>
          <t>Roasted Makhana (30g) + Hot Green Tea with lemon [130 kcal, 3g P, 21g C, 3.5g F, ₹25] | Alt: Boiled Chickpeas Sundal (70g) with mustard &amp; curry leaves [125 kcal, 6g P, 20g C, 2.5g F, ₹18]</t>
        </is>
      </c>
      <c r="M95" s="11" t="inlineStr">
        <is>
          <t>2 Soft Phulkas (75g) + 2 Boiled Eggs in Tomato Onion Curry + Cucumber Salad (100g) [415 kcal, 21g P, 42g C, 15g F, ₹38]</t>
        </is>
      </c>
      <c r="N95" s="11" t="inlineStr">
        <is>
          <t>2 Phulkas (75g) + Grilled Chicken Strips (100g cooked) + Mixed Sautéed Capsicum &amp; Onions [425 kcal, 32g P, 40g C, 11g F, ₹65]</t>
        </is>
      </c>
      <c r="O95" s="11" t="inlineStr">
        <is>
          <t>Warm Moong Dal Vegetable Khichdi (220g) + Fresh Curd (100g) [380 kcal, 15g P, 56g C, 8g F, ₹35]</t>
        </is>
      </c>
      <c r="P95" s="11" t="inlineStr">
        <is>
          <t>Optional Pre: 1 small banana [70 kcal] • Post: 1 cup warm turmeric milk [90 kcal, 6g P]</t>
        </is>
      </c>
      <c r="Q95" s="12" t="n">
        <v>1455</v>
      </c>
      <c r="R95" s="12" t="n">
        <v>80</v>
      </c>
      <c r="S95" s="12" t="n">
        <v>167</v>
      </c>
      <c r="T95" s="12" t="n">
        <v>45.5</v>
      </c>
      <c r="U95" s="12" t="n">
        <v>213</v>
      </c>
      <c r="V95" s="11" t="inlineStr">
        <is>
          <t>Cook oats in milk for 4 mins on medium flame. Stir in pinch of cinnamon powder. Weigh raw boneless chicken (130g). Steam spinach lightly with mustard tempering.</t>
        </is>
      </c>
    </row>
    <row r="96" ht="36" customHeight="1">
      <c r="A96" s="7" t="inlineStr">
        <is>
          <t>2027-01-26</t>
        </is>
      </c>
      <c r="B96" s="7" t="n">
        <v>95</v>
      </c>
      <c r="C96" s="7" t="inlineStr">
        <is>
          <t>Tuesday</t>
        </is>
      </c>
      <c r="D96" s="8" t="inlineStr">
        <is>
          <t>Calcium-Rich Ragi Dosa &amp; Fresh Country Egg Feast</t>
        </is>
      </c>
      <c r="E96" s="8" t="inlineStr">
        <is>
          <t>Ragi Dosa (2 medium, 120g) + Coconut Mint Chutney (30g) + 2 Boiled Eggs [350 kcal, 19g P, 40g C, 13g F, ₹35]</t>
        </is>
      </c>
      <c r="F96" s="8" t="inlineStr">
        <is>
          <t>Steamed Idlis (3 pcs, 110g) + Vegetable Sambar (150ml) + 1 Boiled Egg [310 kcal, 13g P, 44g C, 8g F, ₹25]</t>
        </is>
      </c>
      <c r="G96" s="8" t="inlineStr">
        <is>
          <t>Vegetable Upma (180g) + Warm Toned Milk (150ml) [320 kcal, 11g P, 48g C, 9g F, ₹22]</t>
        </is>
      </c>
      <c r="H96" s="8" t="inlineStr">
        <is>
          <t>Fresh Seasonal Fruit (1 Medium Apple or 150g Papaya) + 6 Almonds [115 kcal, 3g P, 22g C, 3.5g F, ₹30] | Alt: Tender Coconut Water (220ml) [45 kcal, 1g P, 10g C, 0g F, ₹35]</t>
        </is>
      </c>
      <c r="I96" s="8" t="inlineStr">
        <is>
          <t>2 Soft Phulkas (80g) + Homestyle Egg Curry (2 eggs) + Cabbage &amp; Carrot Poriyal (140g) + Rasam [445 kcal, 22g P, 48g C, 16g F, ₹42]</t>
        </is>
      </c>
      <c r="J96" s="8" t="inlineStr">
        <is>
          <t>Sona Masoori Rice (150g) + Bengaluru Chicken Curry (95g meat) + Beans Palya (120g) [475 kcal, 34g P, 48g C, 14g F, ₹75]</t>
        </is>
      </c>
      <c r="K96" s="8" t="inlineStr">
        <is>
          <t>Rice (150g) + Thick Toor Dal Tadka (180g) + Fresh Curd (100g) + Tomato Cucumber Salad [440 kcal, 18g P, 56g C, 14g F, ₹40]</t>
        </is>
      </c>
      <c r="L96" s="8" t="inlineStr">
        <is>
          <t>Spiced Boiled Sundal / Chickpeas (80g) with lime [140 kcal, 7g P, 22g C, 3g F, ₹20] | Alt: Roasted Makhana (30g) in 1/2 tsp ghee &amp; rock salt [130 kcal, 3g P, 21g C, 3.5g F, ₹25]</t>
        </is>
      </c>
      <c r="M96" s="8" t="inlineStr">
        <is>
          <t>2 Soft Phulkas (75g) + Home Chicken Curry (100g meat) + Cucumber Salad (100g) [420 kcal, 31g P, 42g C, 12g F, ₹65]</t>
        </is>
      </c>
      <c r="N96" s="8" t="inlineStr">
        <is>
          <t>2 Phulkas (75g) + Fresh Paneer Bhurji (90g paneer, capsicum, onion) + Clear Soup [440 kcal, 20g P, 42g C, 20g F, ₹55]</t>
        </is>
      </c>
      <c r="O96" s="8" t="inlineStr">
        <is>
          <t>Rice-Moong Dal Khichdi (220g) + Curd (100g) + Lauki Sabzi (120g) [385 kcal, 14g P, 58g C, 8.5g F, ₹35]</t>
        </is>
      </c>
      <c r="P96" s="8" t="inlineStr">
        <is>
          <t>Optional Pre: 1 cup tender coconut water [45 kcal] • Post: 1 glass warm milk (150ml) [85 kcal, 5g P]</t>
        </is>
      </c>
      <c r="Q96" s="9" t="n">
        <v>1470</v>
      </c>
      <c r="R96" s="9" t="n">
        <v>82</v>
      </c>
      <c r="S96" s="9" t="n">
        <v>174</v>
      </c>
      <c r="T96" s="9" t="n">
        <v>47.5</v>
      </c>
      <c r="U96" s="9" t="n">
        <v>192</v>
      </c>
      <c r="V96" s="8" t="inlineStr">
        <is>
          <t>Mix ragi flour with equal water, pinch of salt, cumin seeds &amp; chopped onion. Pour on medium hot tawa. Cook vegetables in minimum oil with mustard seeds, curry leaves &amp; grated fresh coconut.</t>
        </is>
      </c>
    </row>
    <row r="97" ht="36" customHeight="1">
      <c r="A97" s="10" t="inlineStr">
        <is>
          <t>2027-01-27</t>
        </is>
      </c>
      <c r="B97" s="10" t="n">
        <v>96</v>
      </c>
      <c r="C97" s="10" t="inlineStr">
        <is>
          <t>Wednesday</t>
        </is>
      </c>
      <c r="D97" s="11" t="inlineStr">
        <is>
          <t>High-Fiber Soya Chunks &amp; Comfort Idli Sambar</t>
        </is>
      </c>
      <c r="E97" s="11" t="inlineStr">
        <is>
          <t>Steamed Idlis (3 pcs, 110g) + Vegetable Sambar (150ml) + 2 Boiled Eggs [340 kcal, 19g P, 38g C, 12g F, ₹35]</t>
        </is>
      </c>
      <c r="F97" s="11" t="inlineStr">
        <is>
          <t>Vegetable Poha (160g cooked) + 1 Boiled Egg [310 kcal, 12g P, 44g C, 9g F, ₹26]</t>
        </is>
      </c>
      <c r="G97" s="11" t="inlineStr">
        <is>
          <t>Rolled Oats cooked in toned milk (40g + 180ml milk) with 1/2 apple [290 kcal, 12g P, 45g C, 6g F, ₹30]</t>
        </is>
      </c>
      <c r="H97" s="11" t="inlineStr">
        <is>
          <t>Spiced Buttermilk / Majjige (220ml) with curry leaves &amp; ginger [45 kcal, 3g P, 4g C, 1.5g F, ₹15] | Alt: Fresh Papaya slices (150g) + 5 almonds [110 kcal, 3g P, 22g C, 3g F, ₹28]</t>
        </is>
      </c>
      <c r="I97" s="11" t="inlineStr">
        <is>
          <t>Sona Masoori Rice (150g cooked) + Soya Chunks Curry (45g dry soya chunks cooked in onion-tomato gravy) + French Beans Palya (130g) + Rasam [460 kcal, 31g P, 56g C, 9g F, ₹42]</t>
        </is>
      </c>
      <c r="J97" s="11" t="inlineStr">
        <is>
          <t>2 Phulkas (80g) + Chicken Curry (95g meat) + Cabbage Poriyal (120g) [440 kcal, 31g P, 44g C, 13g F, ₹65]</t>
        </is>
      </c>
      <c r="K97" s="11" t="inlineStr">
        <is>
          <t>Rice (150g) + Thick Toor Dal (180g) + 2 Boiled Eggs + Ridge Gourd Palya (120g) [455 kcal, 24g P, 52g C, 14g F, ₹40]</t>
        </is>
      </c>
      <c r="L97" s="11" t="inlineStr">
        <is>
          <t>Roasted Kadale / Chana (30g) + Hot Elaichi Tea (100ml milk) [140 kcal, 6g P, 20g C, 3.5g F, ₹18] | Alt: Roasted Makhana (30g) in ghee &amp; rock salt [130 kcal, 3g P, 21g C, 3.5g F, ₹25]</t>
        </is>
      </c>
      <c r="M97" s="11" t="inlineStr">
        <is>
          <t>2 Soft Phulkas (75g) + 2 Boiled Eggs in Mild Curry + Cucumber Carrot Salad (120g) [415 kcal, 21g P, 42g C, 15g F, ₹38]</t>
        </is>
      </c>
      <c r="N97" s="11" t="inlineStr">
        <is>
          <t>2 Phulkas (75g) + Paneer Bhurji (90g paneer, capsicum, tomato) + Warm Soup [445 kcal, 20g P, 44g C, 19g F, ₹58]</t>
        </is>
      </c>
      <c r="O97" s="11" t="inlineStr">
        <is>
          <t>2 Ragi Rotis (120g) + Chicken Curry (90g meat) + Cucumber Slices [425 kcal, 30g P, 46g C, 11g F, ₹68]</t>
        </is>
      </c>
      <c r="P97" s="11" t="inlineStr">
        <is>
          <t>Optional Pre: 1 small banana [70 kcal] • Post: 1 glass warm milk [90 kcal, 6g P]</t>
        </is>
      </c>
      <c r="Q97" s="12" t="n">
        <v>1400</v>
      </c>
      <c r="R97" s="12" t="n">
        <v>80</v>
      </c>
      <c r="S97" s="12" t="n">
        <v>160</v>
      </c>
      <c r="T97" s="12" t="n">
        <v>41</v>
      </c>
      <c r="U97" s="12" t="n">
        <v>151</v>
      </c>
      <c r="V97" s="11" t="inlineStr">
        <is>
          <t>Dip idlis in piping hot sambar. Eggs provide complete amino acid profile. Soak soya chunks in warm water for 15 mins. Squeeze out bitter water completely before cooking.</t>
        </is>
      </c>
    </row>
    <row r="98" ht="36" customHeight="1">
      <c r="A98" s="7" t="inlineStr">
        <is>
          <t>2027-01-28</t>
        </is>
      </c>
      <c r="B98" s="7" t="n">
        <v>97</v>
      </c>
      <c r="C98" s="7" t="inlineStr">
        <is>
          <t>Thursday</t>
        </is>
      </c>
      <c r="D98" s="8" t="inlineStr">
        <is>
          <t>Comfort Steamed Staples &amp; Bengaluru Chicken Curry</t>
        </is>
      </c>
      <c r="E98" s="8" t="inlineStr">
        <is>
          <t>Steamed Idlis (3 pcs, 110g) + Veg Sambar (150ml) + 2 Boiled Eggs (100g) [340 kcal, 19g P, 38g C, 12g F, ₹35]</t>
        </is>
      </c>
      <c r="F98" s="8" t="inlineStr">
        <is>
          <t>Steamed Idlis (3 pcs) + Veg Sambar + 1 cup warm sprouted moong salad (100g) [310 kcal, 13g P, 46g C, 5g F, ₹25]</t>
        </is>
      </c>
      <c r="G98" s="8" t="inlineStr">
        <is>
          <t>Ragi Dosa (2 medium, 120g) + Mint Chutney (30g) + 1 Boiled Egg [320 kcal, 14g P, 42g C, 11g F, ₹28]</t>
        </is>
      </c>
      <c r="H98" s="8" t="inlineStr">
        <is>
          <t>Tender Coconut Water (220ml) + Handful Roasted Chana (25g) [130 kcal, 5g P, 22g C, 2g F, ₹40] | Alt: Fresh Papaya slices (150g) + 5 soaked almonds [110 kcal, 3g P, 22g C, 3g F, ₹30]</t>
        </is>
      </c>
      <c r="I98" s="8" t="inlineStr">
        <is>
          <t>Sona Masoori Rice (150g cooked / 55g raw) + Bengaluru Chicken Curry (130g raw / 95g cooked meat) + French Beans Palya (130g) + Pepper Rasam [475 kcal, 34g P, 48g C, 14g F, ₹75]</t>
        </is>
      </c>
      <c r="J98" s="8" t="inlineStr">
        <is>
          <t>2 Soft Wheat Phulkas (80g) + Homestyle Egg Curry (2 eggs in onion-tomato gravy) + Cabbage Poriyal (140g) [440 kcal, 21g P, 48g C, 16g F, ₹40]</t>
        </is>
      </c>
      <c r="K98" s="8" t="inlineStr">
        <is>
          <t>Sona Masoori Rice (150g) + Thick Toor Dal Tadka (180g) + Paneer Palya (80g paneer) + Fresh Curd (100g) [480 kcal, 23g P, 54g C, 18g F, ₹55]</t>
        </is>
      </c>
      <c r="L98" s="8" t="inlineStr">
        <is>
          <t>Spiced Boiled Sundal / Chickpeas (80g) with mustard tempering &amp; lemon [140 kcal, 7g P, 22g C, 3g F, ₹20] | Alt: Roasted Makhana (30g) in 1/2 tsp ghee &amp; rock salt [130 kcal, 3g P, 21g C, 3.5g F, ₹25]</t>
        </is>
      </c>
      <c r="M98" s="8" t="inlineStr">
        <is>
          <t>2 Soft Whole Wheat Phulkas (75g) + Grilled/Pan Chicken Curry (100g meat) + Cucumber Tomato Salad (120g) [420 kcal, 31g P, 42g C, 12g F, ₹65]</t>
        </is>
      </c>
      <c r="N98" s="8" t="inlineStr">
        <is>
          <t>2 Phulkas (75g) + Fresh Paneer Bhurji (90g paneer with capsicum &amp; onion) + Tomato Clear Soup [440 kcal, 20g P, 42g C, 20g F, ₹55]</t>
        </is>
      </c>
      <c r="O98" s="8" t="inlineStr">
        <is>
          <t>Warm Rice-Moong Dal Khichdi (220g) + Fresh Curd (100g) + Steamed Beetroot Poriyal (100g) [380 kcal, 14g P, 58g C, 8g F, ₹35]</t>
        </is>
      </c>
      <c r="P98" s="8" t="inlineStr">
        <is>
          <t>Optional Pre: 1 small banana (80g) [70 kcal] • Post: 1 glass warm toned milk with turmeric (180ml) [95 kcal, 6g P]</t>
        </is>
      </c>
      <c r="Q98" s="9" t="n">
        <v>1505</v>
      </c>
      <c r="R98" s="9" t="n">
        <v>96</v>
      </c>
      <c r="S98" s="9" t="n">
        <v>172</v>
      </c>
      <c r="T98" s="9" t="n">
        <v>43</v>
      </c>
      <c r="U98" s="9" t="n">
        <v>235</v>
      </c>
      <c r="V98" s="8" t="inlineStr">
        <is>
          <t>Steam idlis in idli cooker for 10-12 mins. Weigh 110g cooked on kitchen scale. Zero plate on scale, measure 150g warm rice, then add 95g cooked chicken meat without bones.</t>
        </is>
      </c>
    </row>
    <row r="99" ht="36" customHeight="1">
      <c r="A99" s="10" t="inlineStr">
        <is>
          <t>2027-01-29</t>
        </is>
      </c>
      <c r="B99" s="10" t="n">
        <v>98</v>
      </c>
      <c r="C99" s="10" t="inlineStr">
        <is>
          <t>Friday</t>
        </is>
      </c>
      <c r="D99" s="11" t="inlineStr">
        <is>
          <t>Iron-Rich Poha, Egg Curry &amp; Golden Turmeric Phulkas</t>
        </is>
      </c>
      <c r="E99" s="11" t="inlineStr">
        <is>
          <t>Vegetable Poha (160g cooked) tempered with mustard &amp; roasted peanuts (15g) + 1 Boiled Egg [330 kcal, 13g P, 44g C, 11g F, ₹28]</t>
        </is>
      </c>
      <c r="F99" s="11" t="inlineStr">
        <is>
          <t>Vegetable Poha (180g) + 1 glass warm toned milk (150ml) [310 kcal, 11g P, 48g C, 8g F, ₹24]</t>
        </is>
      </c>
      <c r="G99" s="11" t="inlineStr">
        <is>
          <t>Rolled Oats cooked in milk (40g oats + 180ml toned milk) with half diced apple [290 kcal, 12g P, 45g C, 6g F, ₹30]</t>
        </is>
      </c>
      <c r="H99" s="11" t="inlineStr">
        <is>
          <t>Spiced Majjige / Buttermilk (220ml) with grated ginger &amp; curry leaves [45 kcal, 3g P, 4g C, 1.5g F, ₹15] | Alt: 1 Crisp Guava or Apple (130g) with pinch of rock salt [75 kcal, 1.5g P, 18g C, 0.5g F, ₹20]</t>
        </is>
      </c>
      <c r="I99" s="11" t="inlineStr">
        <is>
          <t>2 Soft Phulkas (80g) + 2 Boiled Eggs in Onion-Tomato Gravy (120g gravy) + Ridge Gourd (Heerekayi) Palya (140g) [450 kcal, 22g P, 48g C, 17g F, ₹45]</t>
        </is>
      </c>
      <c r="J99" s="11" t="inlineStr">
        <is>
          <t>Sona Masoori Rice (150g) + Fish Curry (120g rohu/pomfret in light coconut gravy) + Beans Poriyal (120g) [460 kcal, 32g P, 46g C, 13g F, ₹80]</t>
        </is>
      </c>
      <c r="K99" s="11" t="inlineStr">
        <is>
          <t>Cooked Rice (150g) + Mixed Vegetable Sambar (180g) + Pan-seared Tofu or Paneer (80g) + Cucumber Slices [465 kcal, 21g P, 52g C, 17g F, ₹55]</t>
        </is>
      </c>
      <c r="L99" s="11" t="inlineStr">
        <is>
          <t>Boiled Sweet Corn (120g) with lemon squeeze &amp; chaat masala [120 kcal, 4g P, 24g C, 1.5g F, ₹20] | Alt: Roasted Kadale / Chana (30g) + Warm Elaichi Green Tea [125 kcal, 6g P, 18g C, 2.5g F, ₹15]</t>
        </is>
      </c>
      <c r="M99" s="11" t="inlineStr">
        <is>
          <t>2 Soft Phulkas (75g) + Fresh Paneer Bhurji (90g paneer, capsicum, tomato) + Warm Tomato Rasam (150ml) [445 kcal, 21g P, 44g C, 19g F, ₹60]</t>
        </is>
      </c>
      <c r="N99" s="11" t="inlineStr">
        <is>
          <t>2 Ragi Rotis (130g) + Chicken Curry (90g cooked meat) + Onion Cucumber Raita (80g) [430 kcal, 30g P, 46g C, 11g F, ₹70]</t>
        </is>
      </c>
      <c r="O99" s="11" t="inlineStr">
        <is>
          <t>Moong Dal Vegetable Dalia Khichdi (220g) + Fresh Curd (100g) [390 kcal, 16g P, 54g C, 9g F, ₹35]</t>
        </is>
      </c>
      <c r="P99" s="11" t="inlineStr">
        <is>
          <t>Optional Pre: 2 Medjool dates [80 kcal] • Post: 1 boiled egg white or 100g warm milk [55 kcal, 4g P]</t>
        </is>
      </c>
      <c r="Q99" s="12" t="n">
        <v>1390</v>
      </c>
      <c r="R99" s="12" t="n">
        <v>63</v>
      </c>
      <c r="S99" s="12" t="n">
        <v>164</v>
      </c>
      <c r="T99" s="12" t="n">
        <v>50</v>
      </c>
      <c r="U99" s="12" t="n">
        <v>168</v>
      </c>
      <c r="V99" s="11" t="inlineStr">
        <is>
          <t>Rinse thick poha in colander, drain well. Sauté with onion, curry leaves, carrots &amp; roasted peanuts. Prick boiled eggs gently before simmering in gravy to absorb rich flavours.</t>
        </is>
      </c>
    </row>
    <row r="100" ht="36" customHeight="1">
      <c r="A100" s="7" t="inlineStr">
        <is>
          <t>2027-01-30</t>
        </is>
      </c>
      <c r="B100" s="7" t="n">
        <v>99</v>
      </c>
      <c r="C100" s="7" t="inlineStr">
        <is>
          <t>Saturday</t>
        </is>
      </c>
      <c r="D100" s="8" t="inlineStr">
        <is>
          <t>Bengaluru Rava Upma &amp; Fresh Coastal Home Curry</t>
        </is>
      </c>
      <c r="E100" s="8" t="inlineStr">
        <is>
          <t>Bengaluru Vegetable Rava Upma (180g cooked) with roasted peanuts + 1 Boiled Egg [340 kcal, 14g P, 44g C, 12g F, ₹26]</t>
        </is>
      </c>
      <c r="F100" s="8" t="inlineStr">
        <is>
          <t>Vegetable Upma (180g) + 1 glass warm toned milk (150ml) [320 kcal, 11g P, 48g C, 9g F, ₹24]</t>
        </is>
      </c>
      <c r="G100" s="8" t="inlineStr">
        <is>
          <t>Steamed Idlis (3 pcs) with Mint Toor Dal Chutney (40g) + 1 Boiled Egg [320 kcal, 15g P, 42g C, 9g F, ₹28]</t>
        </is>
      </c>
      <c r="H100" s="8" t="inlineStr">
        <is>
          <t>Fresh Fruit Bowl (150g watermelon or papaya) + 6 soaked almonds [110 kcal, 3g P, 22g C, 3g F, ₹30] | Alt: Tender Coconut Water (220ml) [45 kcal, 1g P, 10g C, 0g F, ₹35]</t>
        </is>
      </c>
      <c r="I100" s="8" t="inlineStr">
        <is>
          <t>Sona Masoori Rice (150g cooked) + Bengaluru Fish Curry (120g fresh fish in light gravy) + Cabbage &amp; Pea Poriyal (130g) + Rasam [450 kcal, 33g P, 46g C, 13g F, ₹80]</t>
        </is>
      </c>
      <c r="J100" s="8" t="inlineStr">
        <is>
          <t>2 Phulkas (80g) + Chicken Curry (95g cooked meat) + Cucumber Carrot Salad (100g) [440 kcal, 31g P, 44g C, 13g F, ₹65]</t>
        </is>
      </c>
      <c r="K100" s="8" t="inlineStr">
        <is>
          <t>Rice (150g) + Thick Chana Dal (180g) + Beans Palya (130g) + Fresh Curd (100g) [470 kcal, 22g P, 56g C, 15g F, ₹45]</t>
        </is>
      </c>
      <c r="L100" s="8" t="inlineStr">
        <is>
          <t>Roasted Puri Kadale / Chana (30g) + Warm Ginger Tea (100ml low-fat milk) [140 kcal, 6g P, 20g C, 3.5g F, ₹18] | Alt: Spiced Boiled Moong Sprouts (80g) with lime &amp; salt [110 kcal, 7g P, 18g C, 1g F, ₹15]</t>
        </is>
      </c>
      <c r="M100" s="8" t="inlineStr">
        <is>
          <t>2 Soft Phulkas (75g) + Soya Chunks &amp; Green Pea Curry (45g dry soya + 50g peas) + Fresh Curd (80g) [420 kcal, 29g P, 48g C, 9g F, ₹40]</t>
        </is>
      </c>
      <c r="N100" s="8" t="inlineStr">
        <is>
          <t>2 Phulkas (75g) + 2 Boiled Eggs in Homestyle Curry (100g) + Sliced Cucumber [410 kcal, 21g P, 42g C, 15g F, ₹38]</t>
        </is>
      </c>
      <c r="O100" s="8" t="inlineStr">
        <is>
          <t>2 Ragi Rotis (120g) + Mixed Vegetable Sambar (180ml) + Sautéed Palak (100g) [380 kcal, 14g P, 54g C, 8g F, ₹30]</t>
        </is>
      </c>
      <c r="P100" s="8" t="inlineStr">
        <is>
          <t>Optional Pre: 1 cup tender coconut water [45 kcal] • Post: 1 glass warm milk (150ml) [85 kcal, 5g P]</t>
        </is>
      </c>
      <c r="Q100" s="9" t="n">
        <v>1460</v>
      </c>
      <c r="R100" s="9" t="n">
        <v>85</v>
      </c>
      <c r="S100" s="9" t="n">
        <v>180</v>
      </c>
      <c r="T100" s="9" t="n">
        <v>40.5</v>
      </c>
      <c r="U100" s="9" t="n">
        <v>194</v>
      </c>
      <c r="V100" s="8" t="inlineStr">
        <is>
          <t>Dry roast semolina lightly. Tempered with mustard seeds, chana dal, green chillies &amp; mixed veggies. Use fresh local fish cuts (rohu, pomfret, or seer fish). Simmer gently for 8 mins.</t>
        </is>
      </c>
    </row>
    <row r="101" ht="36" customHeight="1">
      <c r="A101" s="10" t="inlineStr">
        <is>
          <t>2027-01-31</t>
        </is>
      </c>
      <c r="B101" s="10" t="n">
        <v>100</v>
      </c>
      <c r="C101" s="10" t="inlineStr">
        <is>
          <t>Sunday</t>
        </is>
      </c>
      <c r="D101" s="11" t="inlineStr">
        <is>
          <t>Nourishing Rolled Oats &amp; Tender Chicken Palya</t>
        </is>
      </c>
      <c r="E101" s="11" t="inlineStr">
        <is>
          <t>Warm Rolled Oats (40g dry + 180ml toned milk) + 1 Boiled Egg + Apple slices (50g) [345 kcal, 18g P, 46g C, 10g F, ₹35]</t>
        </is>
      </c>
      <c r="F101" s="11" t="inlineStr">
        <is>
          <t>Vegetable Poha (160g cooked) + 2 Boiled Eggs [360 kcal, 18g P, 42g C, 14g F, ₹32]</t>
        </is>
      </c>
      <c r="G101" s="11" t="inlineStr">
        <is>
          <t>2 Plain Dosas (120g) + Toor Dal Sambar (150ml) + 1 cup warm sprouted moong [330 kcal, 14g P, 48g C, 7g F, ₹25]</t>
        </is>
      </c>
      <c r="H101" s="11" t="inlineStr">
        <is>
          <t>Tender Coconut Water (220ml) + 5 Soaked Almonds [95 kcal, 3g P, 12g C, 4g F, ₹40] | Alt: Fresh Spiced Buttermilk (220ml) with coriander &amp; rock salt [45 kcal, 3g P, 4g C, 1.5g F, ₹15]</t>
        </is>
      </c>
      <c r="I101" s="11" t="inlineStr">
        <is>
          <t>Sona Masoori Rice (150g cooked) + Tender Chicken Curry (130g raw / 95g meat) + Palak (Spinach) Palya (140g) + Rasam [470 kcal, 35g P, 46g C, 13g F, ₹75]</t>
        </is>
      </c>
      <c r="J101" s="11" t="inlineStr">
        <is>
          <t>2 Soft Phulkas (80g) + Fresh Paneer Curry (85g paneer in light gravy) + French Beans Palya (120g) [450 kcal, 21g P, 44g C, 19g F, ₹55]</t>
        </is>
      </c>
      <c r="K101" s="11" t="inlineStr">
        <is>
          <t>Rice (150g) + Toor Dal Tadka (180g) + 2 Boiled Eggs + Beetroot Poriyal (120g) [460 kcal, 25g P, 52g C, 14g F, ₹42]</t>
        </is>
      </c>
      <c r="L101" s="11" t="inlineStr">
        <is>
          <t>Roasted Makhana (30g) + Hot Green Tea with lemon [130 kcal, 3g P, 21g C, 3.5g F, ₹25] | Alt: Boiled Chickpeas Sundal (70g) with mustard &amp; curry leaves [125 kcal, 6g P, 20g C, 2.5g F, ₹18]</t>
        </is>
      </c>
      <c r="M101" s="11" t="inlineStr">
        <is>
          <t>2 Soft Phulkas (75g) + 2 Boiled Eggs in Tomato Onion Curry + Cucumber Salad (100g) [415 kcal, 21g P, 42g C, 15g F, ₹38]</t>
        </is>
      </c>
      <c r="N101" s="11" t="inlineStr">
        <is>
          <t>2 Phulkas (75g) + Grilled Chicken Strips (100g cooked) + Mixed Sautéed Capsicum &amp; Onions [425 kcal, 32g P, 40g C, 11g F, ₹65]</t>
        </is>
      </c>
      <c r="O101" s="11" t="inlineStr">
        <is>
          <t>Warm Moong Dal Vegetable Khichdi (220g) + Fresh Curd (100g) [380 kcal, 15g P, 56g C, 8g F, ₹35]</t>
        </is>
      </c>
      <c r="P101" s="11" t="inlineStr">
        <is>
          <t>Optional Pre: 1 small banana [70 kcal] • Post: 1 cup warm turmeric milk [90 kcal, 6g P]</t>
        </is>
      </c>
      <c r="Q101" s="12" t="n">
        <v>1455</v>
      </c>
      <c r="R101" s="12" t="n">
        <v>80</v>
      </c>
      <c r="S101" s="12" t="n">
        <v>167</v>
      </c>
      <c r="T101" s="12" t="n">
        <v>45.5</v>
      </c>
      <c r="U101" s="12" t="n">
        <v>213</v>
      </c>
      <c r="V101" s="11" t="inlineStr">
        <is>
          <t>Cook oats in milk for 4 mins on medium flame. Stir in pinch of cinnamon powder. Weigh raw boneless chicken (130g). Steam spinach lightly with mustard tempering.</t>
        </is>
      </c>
    </row>
    <row r="102" ht="36" customHeight="1">
      <c r="A102" s="7" t="inlineStr">
        <is>
          <t>2027-02-01</t>
        </is>
      </c>
      <c r="B102" s="7" t="n">
        <v>101</v>
      </c>
      <c r="C102" s="7" t="inlineStr">
        <is>
          <t>Monday</t>
        </is>
      </c>
      <c r="D102" s="8" t="inlineStr">
        <is>
          <t>Calcium-Rich Ragi Dosa &amp; Fresh Country Egg Feast</t>
        </is>
      </c>
      <c r="E102" s="8" t="inlineStr">
        <is>
          <t>Ragi Dosa (2 medium, 120g) + Coconut Mint Chutney (30g) + 2 Boiled Eggs [350 kcal, 19g P, 40g C, 13g F, ₹35]</t>
        </is>
      </c>
      <c r="F102" s="8" t="inlineStr">
        <is>
          <t>Steamed Idlis (3 pcs, 110g) + Vegetable Sambar (150ml) + 1 Boiled Egg [310 kcal, 13g P, 44g C, 8g F, ₹25]</t>
        </is>
      </c>
      <c r="G102" s="8" t="inlineStr">
        <is>
          <t>Vegetable Upma (180g) + Warm Toned Milk (150ml) [320 kcal, 11g P, 48g C, 9g F, ₹22]</t>
        </is>
      </c>
      <c r="H102" s="8" t="inlineStr">
        <is>
          <t>Fresh Seasonal Fruit (1 Medium Apple or 150g Papaya) + 6 Almonds [115 kcal, 3g P, 22g C, 3.5g F, ₹30] | Alt: Tender Coconut Water (220ml) [45 kcal, 1g P, 10g C, 0g F, ₹35]</t>
        </is>
      </c>
      <c r="I102" s="8" t="inlineStr">
        <is>
          <t>2 Soft Phulkas (80g) + Homestyle Egg Curry (2 eggs) + Cabbage &amp; Carrot Poriyal (140g) + Rasam [445 kcal, 22g P, 48g C, 16g F, ₹42]</t>
        </is>
      </c>
      <c r="J102" s="8" t="inlineStr">
        <is>
          <t>Sona Masoori Rice (150g) + Bengaluru Chicken Curry (95g meat) + Beans Palya (120g) [475 kcal, 34g P, 48g C, 14g F, ₹75]</t>
        </is>
      </c>
      <c r="K102" s="8" t="inlineStr">
        <is>
          <t>Rice (150g) + Thick Toor Dal Tadka (180g) + Fresh Curd (100g) + Tomato Cucumber Salad [440 kcal, 18g P, 56g C, 14g F, ₹40]</t>
        </is>
      </c>
      <c r="L102" s="8" t="inlineStr">
        <is>
          <t>Spiced Boiled Sundal / Chickpeas (80g) with lime [140 kcal, 7g P, 22g C, 3g F, ₹20] | Alt: Roasted Makhana (30g) in 1/2 tsp ghee &amp; rock salt [130 kcal, 3g P, 21g C, 3.5g F, ₹25]</t>
        </is>
      </c>
      <c r="M102" s="8" t="inlineStr">
        <is>
          <t>2 Soft Phulkas (75g) + Home Chicken Curry (100g meat) + Cucumber Salad (100g) [420 kcal, 31g P, 42g C, 12g F, ₹65]</t>
        </is>
      </c>
      <c r="N102" s="8" t="inlineStr">
        <is>
          <t>2 Phulkas (75g) + Fresh Paneer Bhurji (90g paneer, capsicum, onion) + Clear Soup [440 kcal, 20g P, 42g C, 20g F, ₹55]</t>
        </is>
      </c>
      <c r="O102" s="8" t="inlineStr">
        <is>
          <t>Rice-Moong Dal Khichdi (220g) + Curd (100g) + Lauki Sabzi (120g) [385 kcal, 14g P, 58g C, 8.5g F, ₹35]</t>
        </is>
      </c>
      <c r="P102" s="8" t="inlineStr">
        <is>
          <t>Optional Pre: 1 cup tender coconut water [45 kcal] • Post: 1 glass warm milk (150ml) [85 kcal, 5g P]</t>
        </is>
      </c>
      <c r="Q102" s="9" t="n">
        <v>1470</v>
      </c>
      <c r="R102" s="9" t="n">
        <v>82</v>
      </c>
      <c r="S102" s="9" t="n">
        <v>174</v>
      </c>
      <c r="T102" s="9" t="n">
        <v>47.5</v>
      </c>
      <c r="U102" s="9" t="n">
        <v>192</v>
      </c>
      <c r="V102" s="8" t="inlineStr">
        <is>
          <t>Mix ragi flour with equal water, pinch of salt, cumin seeds &amp; chopped onion. Pour on medium hot tawa. Cook vegetables in minimum oil with mustard seeds, curry leaves &amp; grated fresh coconut.</t>
        </is>
      </c>
    </row>
    <row r="103" ht="36" customHeight="1">
      <c r="A103" s="10" t="inlineStr">
        <is>
          <t>2027-02-02</t>
        </is>
      </c>
      <c r="B103" s="10" t="n">
        <v>102</v>
      </c>
      <c r="C103" s="10" t="inlineStr">
        <is>
          <t>Tuesday</t>
        </is>
      </c>
      <c r="D103" s="11" t="inlineStr">
        <is>
          <t>High-Fiber Soya Chunks &amp; Comfort Idli Sambar</t>
        </is>
      </c>
      <c r="E103" s="11" t="inlineStr">
        <is>
          <t>Steamed Idlis (3 pcs, 110g) + Vegetable Sambar (150ml) + 2 Boiled Eggs [340 kcal, 19g P, 38g C, 12g F, ₹35]</t>
        </is>
      </c>
      <c r="F103" s="11" t="inlineStr">
        <is>
          <t>Vegetable Poha (160g cooked) + 1 Boiled Egg [310 kcal, 12g P, 44g C, 9g F, ₹26]</t>
        </is>
      </c>
      <c r="G103" s="11" t="inlineStr">
        <is>
          <t>Rolled Oats cooked in toned milk (40g + 180ml milk) with 1/2 apple [290 kcal, 12g P, 45g C, 6g F, ₹30]</t>
        </is>
      </c>
      <c r="H103" s="11" t="inlineStr">
        <is>
          <t>Spiced Buttermilk / Majjige (220ml) with curry leaves &amp; ginger [45 kcal, 3g P, 4g C, 1.5g F, ₹15] | Alt: Fresh Papaya slices (150g) + 5 almonds [110 kcal, 3g P, 22g C, 3g F, ₹28]</t>
        </is>
      </c>
      <c r="I103" s="11" t="inlineStr">
        <is>
          <t>Sona Masoori Rice (150g cooked) + Soya Chunks Curry (45g dry soya chunks cooked in onion-tomato gravy) + French Beans Palya (130g) + Rasam [460 kcal, 31g P, 56g C, 9g F, ₹42]</t>
        </is>
      </c>
      <c r="J103" s="11" t="inlineStr">
        <is>
          <t>2 Phulkas (80g) + Chicken Curry (95g meat) + Cabbage Poriyal (120g) [440 kcal, 31g P, 44g C, 13g F, ₹65]</t>
        </is>
      </c>
      <c r="K103" s="11" t="inlineStr">
        <is>
          <t>Rice (150g) + Thick Toor Dal (180g) + 2 Boiled Eggs + Ridge Gourd Palya (120g) [455 kcal, 24g P, 52g C, 14g F, ₹40]</t>
        </is>
      </c>
      <c r="L103" s="11" t="inlineStr">
        <is>
          <t>Roasted Kadale / Chana (30g) + Hot Elaichi Tea (100ml milk) [140 kcal, 6g P, 20g C, 3.5g F, ₹18] | Alt: Roasted Makhana (30g) in ghee &amp; rock salt [130 kcal, 3g P, 21g C, 3.5g F, ₹25]</t>
        </is>
      </c>
      <c r="M103" s="11" t="inlineStr">
        <is>
          <t>2 Soft Phulkas (75g) + 2 Boiled Eggs in Mild Curry + Cucumber Carrot Salad (120g) [415 kcal, 21g P, 42g C, 15g F, ₹38]</t>
        </is>
      </c>
      <c r="N103" s="11" t="inlineStr">
        <is>
          <t>2 Phulkas (75g) + Paneer Bhurji (90g paneer, capsicum, tomato) + Warm Soup [445 kcal, 20g P, 44g C, 19g F, ₹58]</t>
        </is>
      </c>
      <c r="O103" s="11" t="inlineStr">
        <is>
          <t>2 Ragi Rotis (120g) + Chicken Curry (90g meat) + Cucumber Slices [425 kcal, 30g P, 46g C, 11g F, ₹68]</t>
        </is>
      </c>
      <c r="P103" s="11" t="inlineStr">
        <is>
          <t>Optional Pre: 1 small banana [70 kcal] • Post: 1 glass warm milk [90 kcal, 6g P]</t>
        </is>
      </c>
      <c r="Q103" s="12" t="n">
        <v>1400</v>
      </c>
      <c r="R103" s="12" t="n">
        <v>80</v>
      </c>
      <c r="S103" s="12" t="n">
        <v>160</v>
      </c>
      <c r="T103" s="12" t="n">
        <v>41</v>
      </c>
      <c r="U103" s="12" t="n">
        <v>151</v>
      </c>
      <c r="V103" s="11" t="inlineStr">
        <is>
          <t>Dip idlis in piping hot sambar. Eggs provide complete amino acid profile. Soak soya chunks in warm water for 15 mins. Squeeze out bitter water completely before cooking.</t>
        </is>
      </c>
    </row>
    <row r="104" ht="36" customHeight="1">
      <c r="A104" s="7" t="inlineStr">
        <is>
          <t>2027-02-03</t>
        </is>
      </c>
      <c r="B104" s="7" t="n">
        <v>103</v>
      </c>
      <c r="C104" s="7" t="inlineStr">
        <is>
          <t>Wednesday</t>
        </is>
      </c>
      <c r="D104" s="8" t="inlineStr">
        <is>
          <t>Comfort Steamed Staples &amp; Bengaluru Chicken Curry</t>
        </is>
      </c>
      <c r="E104" s="8" t="inlineStr">
        <is>
          <t>Steamed Idlis (3 pcs, 110g) + Veg Sambar (150ml) + 2 Boiled Eggs (100g) [340 kcal, 19g P, 38g C, 12g F, ₹35]</t>
        </is>
      </c>
      <c r="F104" s="8" t="inlineStr">
        <is>
          <t>Steamed Idlis (3 pcs) + Veg Sambar + 1 cup warm sprouted moong salad (100g) [310 kcal, 13g P, 46g C, 5g F, ₹25]</t>
        </is>
      </c>
      <c r="G104" s="8" t="inlineStr">
        <is>
          <t>Ragi Dosa (2 medium, 120g) + Mint Chutney (30g) + 1 Boiled Egg [320 kcal, 14g P, 42g C, 11g F, ₹28]</t>
        </is>
      </c>
      <c r="H104" s="8" t="inlineStr">
        <is>
          <t>Tender Coconut Water (220ml) + Handful Roasted Chana (25g) [130 kcal, 5g P, 22g C, 2g F, ₹40] | Alt: Fresh Papaya slices (150g) + 5 soaked almonds [110 kcal, 3g P, 22g C, 3g F, ₹30]</t>
        </is>
      </c>
      <c r="I104" s="8" t="inlineStr">
        <is>
          <t>Sona Masoori Rice (150g cooked / 55g raw) + Bengaluru Chicken Curry (130g raw / 95g cooked meat) + French Beans Palya (130g) + Pepper Rasam [475 kcal, 34g P, 48g C, 14g F, ₹75]</t>
        </is>
      </c>
      <c r="J104" s="8" t="inlineStr">
        <is>
          <t>2 Soft Wheat Phulkas (80g) + Homestyle Egg Curry (2 eggs in onion-tomato gravy) + Cabbage Poriyal (140g) [440 kcal, 21g P, 48g C, 16g F, ₹40]</t>
        </is>
      </c>
      <c r="K104" s="8" t="inlineStr">
        <is>
          <t>Sona Masoori Rice (150g) + Thick Toor Dal Tadka (180g) + Paneer Palya (80g paneer) + Fresh Curd (100g) [480 kcal, 23g P, 54g C, 18g F, ₹55]</t>
        </is>
      </c>
      <c r="L104" s="8" t="inlineStr">
        <is>
          <t>Spiced Boiled Sundal / Chickpeas (80g) with mustard tempering &amp; lemon [140 kcal, 7g P, 22g C, 3g F, ₹20] | Alt: Roasted Makhana (30g) in 1/2 tsp ghee &amp; rock salt [130 kcal, 3g P, 21g C, 3.5g F, ₹25]</t>
        </is>
      </c>
      <c r="M104" s="8" t="inlineStr">
        <is>
          <t>2 Soft Whole Wheat Phulkas (75g) + Grilled/Pan Chicken Curry (100g meat) + Cucumber Tomato Salad (120g) [420 kcal, 31g P, 42g C, 12g F, ₹65]</t>
        </is>
      </c>
      <c r="N104" s="8" t="inlineStr">
        <is>
          <t>2 Phulkas (75g) + Fresh Paneer Bhurji (90g paneer with capsicum &amp; onion) + Tomato Clear Soup [440 kcal, 20g P, 42g C, 20g F, ₹55]</t>
        </is>
      </c>
      <c r="O104" s="8" t="inlineStr">
        <is>
          <t>Warm Rice-Moong Dal Khichdi (220g) + Fresh Curd (100g) + Steamed Beetroot Poriyal (100g) [380 kcal, 14g P, 58g C, 8g F, ₹35]</t>
        </is>
      </c>
      <c r="P104" s="8" t="inlineStr">
        <is>
          <t>Optional Pre: 1 small banana (80g) [70 kcal] • Post: 1 glass warm toned milk with turmeric (180ml) [95 kcal, 6g P]</t>
        </is>
      </c>
      <c r="Q104" s="9" t="n">
        <v>1505</v>
      </c>
      <c r="R104" s="9" t="n">
        <v>96</v>
      </c>
      <c r="S104" s="9" t="n">
        <v>172</v>
      </c>
      <c r="T104" s="9" t="n">
        <v>43</v>
      </c>
      <c r="U104" s="9" t="n">
        <v>235</v>
      </c>
      <c r="V104" s="8" t="inlineStr">
        <is>
          <t>Steam idlis in idli cooker for 10-12 mins. Weigh 110g cooked on kitchen scale. Zero plate on scale, measure 150g warm rice, then add 95g cooked chicken meat without bones.</t>
        </is>
      </c>
    </row>
    <row r="105" ht="36" customHeight="1">
      <c r="A105" s="10" t="inlineStr">
        <is>
          <t>2027-02-04</t>
        </is>
      </c>
      <c r="B105" s="10" t="n">
        <v>104</v>
      </c>
      <c r="C105" s="10" t="inlineStr">
        <is>
          <t>Thursday</t>
        </is>
      </c>
      <c r="D105" s="11" t="inlineStr">
        <is>
          <t>Iron-Rich Poha, Egg Curry &amp; Golden Turmeric Phulkas</t>
        </is>
      </c>
      <c r="E105" s="11" t="inlineStr">
        <is>
          <t>Vegetable Poha (160g cooked) tempered with mustard &amp; roasted peanuts (15g) + 1 Boiled Egg [330 kcal, 13g P, 44g C, 11g F, ₹28]</t>
        </is>
      </c>
      <c r="F105" s="11" t="inlineStr">
        <is>
          <t>Vegetable Poha (180g) + 1 glass warm toned milk (150ml) [310 kcal, 11g P, 48g C, 8g F, ₹24]</t>
        </is>
      </c>
      <c r="G105" s="11" t="inlineStr">
        <is>
          <t>Rolled Oats cooked in milk (40g oats + 180ml toned milk) with half diced apple [290 kcal, 12g P, 45g C, 6g F, ₹30]</t>
        </is>
      </c>
      <c r="H105" s="11" t="inlineStr">
        <is>
          <t>Spiced Majjige / Buttermilk (220ml) with grated ginger &amp; curry leaves [45 kcal, 3g P, 4g C, 1.5g F, ₹15] | Alt: 1 Crisp Guava or Apple (130g) with pinch of rock salt [75 kcal, 1.5g P, 18g C, 0.5g F, ₹20]</t>
        </is>
      </c>
      <c r="I105" s="11" t="inlineStr">
        <is>
          <t>2 Soft Phulkas (80g) + 2 Boiled Eggs in Onion-Tomato Gravy (120g gravy) + Ridge Gourd (Heerekayi) Palya (140g) [450 kcal, 22g P, 48g C, 17g F, ₹45]</t>
        </is>
      </c>
      <c r="J105" s="11" t="inlineStr">
        <is>
          <t>Sona Masoori Rice (150g) + Fish Curry (120g rohu/pomfret in light coconut gravy) + Beans Poriyal (120g) [460 kcal, 32g P, 46g C, 13g F, ₹80]</t>
        </is>
      </c>
      <c r="K105" s="11" t="inlineStr">
        <is>
          <t>Cooked Rice (150g) + Mixed Vegetable Sambar (180g) + Pan-seared Tofu or Paneer (80g) + Cucumber Slices [465 kcal, 21g P, 52g C, 17g F, ₹55]</t>
        </is>
      </c>
      <c r="L105" s="11" t="inlineStr">
        <is>
          <t>Boiled Sweet Corn (120g) with lemon squeeze &amp; chaat masala [120 kcal, 4g P, 24g C, 1.5g F, ₹20] | Alt: Roasted Kadale / Chana (30g) + Warm Elaichi Green Tea [125 kcal, 6g P, 18g C, 2.5g F, ₹15]</t>
        </is>
      </c>
      <c r="M105" s="11" t="inlineStr">
        <is>
          <t>2 Soft Phulkas (75g) + Fresh Paneer Bhurji (90g paneer, capsicum, tomato) + Warm Tomato Rasam (150ml) [445 kcal, 21g P, 44g C, 19g F, ₹60]</t>
        </is>
      </c>
      <c r="N105" s="11" t="inlineStr">
        <is>
          <t>2 Ragi Rotis (130g) + Chicken Curry (90g cooked meat) + Onion Cucumber Raita (80g) [430 kcal, 30g P, 46g C, 11g F, ₹70]</t>
        </is>
      </c>
      <c r="O105" s="11" t="inlineStr">
        <is>
          <t>Moong Dal Vegetable Dalia Khichdi (220g) + Fresh Curd (100g) [390 kcal, 16g P, 54g C, 9g F, ₹35]</t>
        </is>
      </c>
      <c r="P105" s="11" t="inlineStr">
        <is>
          <t>Optional Pre: 2 Medjool dates [80 kcal] • Post: 1 boiled egg white or 100g warm milk [55 kcal, 4g P]</t>
        </is>
      </c>
      <c r="Q105" s="12" t="n">
        <v>1390</v>
      </c>
      <c r="R105" s="12" t="n">
        <v>63</v>
      </c>
      <c r="S105" s="12" t="n">
        <v>164</v>
      </c>
      <c r="T105" s="12" t="n">
        <v>50</v>
      </c>
      <c r="U105" s="12" t="n">
        <v>168</v>
      </c>
      <c r="V105" s="11" t="inlineStr">
        <is>
          <t>Rinse thick poha in colander, drain well. Sauté with onion, curry leaves, carrots &amp; roasted peanuts. Prick boiled eggs gently before simmering in gravy to absorb rich flavours.</t>
        </is>
      </c>
    </row>
    <row r="106" ht="36" customHeight="1">
      <c r="A106" s="7" t="inlineStr">
        <is>
          <t>2027-02-05</t>
        </is>
      </c>
      <c r="B106" s="7" t="n">
        <v>105</v>
      </c>
      <c r="C106" s="7" t="inlineStr">
        <is>
          <t>Friday</t>
        </is>
      </c>
      <c r="D106" s="8" t="inlineStr">
        <is>
          <t>Bengaluru Rava Upma &amp; Fresh Coastal Home Curry</t>
        </is>
      </c>
      <c r="E106" s="8" t="inlineStr">
        <is>
          <t>Bengaluru Vegetable Rava Upma (180g cooked) with roasted peanuts + 1 Boiled Egg [340 kcal, 14g P, 44g C, 12g F, ₹26]</t>
        </is>
      </c>
      <c r="F106" s="8" t="inlineStr">
        <is>
          <t>Vegetable Upma (180g) + 1 glass warm toned milk (150ml) [320 kcal, 11g P, 48g C, 9g F, ₹24]</t>
        </is>
      </c>
      <c r="G106" s="8" t="inlineStr">
        <is>
          <t>Steamed Idlis (3 pcs) with Mint Toor Dal Chutney (40g) + 1 Boiled Egg [320 kcal, 15g P, 42g C, 9g F, ₹28]</t>
        </is>
      </c>
      <c r="H106" s="8" t="inlineStr">
        <is>
          <t>Fresh Fruit Bowl (150g watermelon or papaya) + 6 soaked almonds [110 kcal, 3g P, 22g C, 3g F, ₹30] | Alt: Tender Coconut Water (220ml) [45 kcal, 1g P, 10g C, 0g F, ₹35]</t>
        </is>
      </c>
      <c r="I106" s="8" t="inlineStr">
        <is>
          <t>Sona Masoori Rice (150g cooked) + Bengaluru Fish Curry (120g fresh fish in light gravy) + Cabbage &amp; Pea Poriyal (130g) + Rasam [450 kcal, 33g P, 46g C, 13g F, ₹80]</t>
        </is>
      </c>
      <c r="J106" s="8" t="inlineStr">
        <is>
          <t>2 Phulkas (80g) + Chicken Curry (95g cooked meat) + Cucumber Carrot Salad (100g) [440 kcal, 31g P, 44g C, 13g F, ₹65]</t>
        </is>
      </c>
      <c r="K106" s="8" t="inlineStr">
        <is>
          <t>Rice (150g) + Thick Chana Dal (180g) + Beans Palya (130g) + Fresh Curd (100g) [470 kcal, 22g P, 56g C, 15g F, ₹45]</t>
        </is>
      </c>
      <c r="L106" s="8" t="inlineStr">
        <is>
          <t>Roasted Puri Kadale / Chana (30g) + Warm Ginger Tea (100ml low-fat milk) [140 kcal, 6g P, 20g C, 3.5g F, ₹18] | Alt: Spiced Boiled Moong Sprouts (80g) with lime &amp; salt [110 kcal, 7g P, 18g C, 1g F, ₹15]</t>
        </is>
      </c>
      <c r="M106" s="8" t="inlineStr">
        <is>
          <t>2 Soft Phulkas (75g) + Soya Chunks &amp; Green Pea Curry (45g dry soya + 50g peas) + Fresh Curd (80g) [420 kcal, 29g P, 48g C, 9g F, ₹40]</t>
        </is>
      </c>
      <c r="N106" s="8" t="inlineStr">
        <is>
          <t>2 Phulkas (75g) + 2 Boiled Eggs in Homestyle Curry (100g) + Sliced Cucumber [410 kcal, 21g P, 42g C, 15g F, ₹38]</t>
        </is>
      </c>
      <c r="O106" s="8" t="inlineStr">
        <is>
          <t>2 Ragi Rotis (120g) + Mixed Vegetable Sambar (180ml) + Sautéed Palak (100g) [380 kcal, 14g P, 54g C, 8g F, ₹30]</t>
        </is>
      </c>
      <c r="P106" s="8" t="inlineStr">
        <is>
          <t>Optional Pre: 1 cup tender coconut water [45 kcal] • Post: 1 glass warm milk (150ml) [85 kcal, 5g P]</t>
        </is>
      </c>
      <c r="Q106" s="9" t="n">
        <v>1460</v>
      </c>
      <c r="R106" s="9" t="n">
        <v>85</v>
      </c>
      <c r="S106" s="9" t="n">
        <v>180</v>
      </c>
      <c r="T106" s="9" t="n">
        <v>40.5</v>
      </c>
      <c r="U106" s="9" t="n">
        <v>194</v>
      </c>
      <c r="V106" s="8" t="inlineStr">
        <is>
          <t>Dry roast semolina lightly. Tempered with mustard seeds, chana dal, green chillies &amp; mixed veggies. Use fresh local fish cuts (rohu, pomfret, or seer fish). Simmer gently for 8 mins.</t>
        </is>
      </c>
    </row>
    <row r="107" ht="36" customHeight="1">
      <c r="A107" s="10" t="inlineStr">
        <is>
          <t>2027-02-06</t>
        </is>
      </c>
      <c r="B107" s="10" t="n">
        <v>106</v>
      </c>
      <c r="C107" s="10" t="inlineStr">
        <is>
          <t>Saturday</t>
        </is>
      </c>
      <c r="D107" s="11" t="inlineStr">
        <is>
          <t>Nourishing Rolled Oats &amp; Tender Chicken Palya</t>
        </is>
      </c>
      <c r="E107" s="11" t="inlineStr">
        <is>
          <t>Warm Rolled Oats (40g dry + 180ml toned milk) + 1 Boiled Egg + Apple slices (50g) [345 kcal, 18g P, 46g C, 10g F, ₹35]</t>
        </is>
      </c>
      <c r="F107" s="11" t="inlineStr">
        <is>
          <t>Vegetable Poha (160g cooked) + 2 Boiled Eggs [360 kcal, 18g P, 42g C, 14g F, ₹32]</t>
        </is>
      </c>
      <c r="G107" s="11" t="inlineStr">
        <is>
          <t>2 Plain Dosas (120g) + Toor Dal Sambar (150ml) + 1 cup warm sprouted moong [330 kcal, 14g P, 48g C, 7g F, ₹25]</t>
        </is>
      </c>
      <c r="H107" s="11" t="inlineStr">
        <is>
          <t>Tender Coconut Water (220ml) + 5 Soaked Almonds [95 kcal, 3g P, 12g C, 4g F, ₹40] | Alt: Fresh Spiced Buttermilk (220ml) with coriander &amp; rock salt [45 kcal, 3g P, 4g C, 1.5g F, ₹15]</t>
        </is>
      </c>
      <c r="I107" s="11" t="inlineStr">
        <is>
          <t>Sona Masoori Rice (150g cooked) + Tender Chicken Curry (130g raw / 95g meat) + Palak (Spinach) Palya (140g) + Rasam [470 kcal, 35g P, 46g C, 13g F, ₹75]</t>
        </is>
      </c>
      <c r="J107" s="11" t="inlineStr">
        <is>
          <t>2 Soft Phulkas (80g) + Fresh Paneer Curry (85g paneer in light gravy) + French Beans Palya (120g) [450 kcal, 21g P, 44g C, 19g F, ₹55]</t>
        </is>
      </c>
      <c r="K107" s="11" t="inlineStr">
        <is>
          <t>Rice (150g) + Toor Dal Tadka (180g) + 2 Boiled Eggs + Beetroot Poriyal (120g) [460 kcal, 25g P, 52g C, 14g F, ₹42]</t>
        </is>
      </c>
      <c r="L107" s="11" t="inlineStr">
        <is>
          <t>Roasted Makhana (30g) + Hot Green Tea with lemon [130 kcal, 3g P, 21g C, 3.5g F, ₹25] | Alt: Boiled Chickpeas Sundal (70g) with mustard &amp; curry leaves [125 kcal, 6g P, 20g C, 2.5g F, ₹18]</t>
        </is>
      </c>
      <c r="M107" s="11" t="inlineStr">
        <is>
          <t>2 Soft Phulkas (75g) + 2 Boiled Eggs in Tomato Onion Curry + Cucumber Salad (100g) [415 kcal, 21g P, 42g C, 15g F, ₹38]</t>
        </is>
      </c>
      <c r="N107" s="11" t="inlineStr">
        <is>
          <t>2 Phulkas (75g) + Grilled Chicken Strips (100g cooked) + Mixed Sautéed Capsicum &amp; Onions [425 kcal, 32g P, 40g C, 11g F, ₹65]</t>
        </is>
      </c>
      <c r="O107" s="11" t="inlineStr">
        <is>
          <t>Warm Moong Dal Vegetable Khichdi (220g) + Fresh Curd (100g) [380 kcal, 15g P, 56g C, 8g F, ₹35]</t>
        </is>
      </c>
      <c r="P107" s="11" t="inlineStr">
        <is>
          <t>Optional Pre: 1 small banana [70 kcal] • Post: 1 cup warm turmeric milk [90 kcal, 6g P]</t>
        </is>
      </c>
      <c r="Q107" s="12" t="n">
        <v>1455</v>
      </c>
      <c r="R107" s="12" t="n">
        <v>80</v>
      </c>
      <c r="S107" s="12" t="n">
        <v>167</v>
      </c>
      <c r="T107" s="12" t="n">
        <v>45.5</v>
      </c>
      <c r="U107" s="12" t="n">
        <v>213</v>
      </c>
      <c r="V107" s="11" t="inlineStr">
        <is>
          <t>Cook oats in milk for 4 mins on medium flame. Stir in pinch of cinnamon powder. Weigh raw boneless chicken (130g). Steam spinach lightly with mustard tempering.</t>
        </is>
      </c>
    </row>
    <row r="108" ht="36" customHeight="1">
      <c r="A108" s="7" t="inlineStr">
        <is>
          <t>2027-02-07</t>
        </is>
      </c>
      <c r="B108" s="7" t="n">
        <v>107</v>
      </c>
      <c r="C108" s="7" t="inlineStr">
        <is>
          <t>Sunday</t>
        </is>
      </c>
      <c r="D108" s="8" t="inlineStr">
        <is>
          <t>Calcium-Rich Ragi Dosa &amp; Fresh Country Egg Feast</t>
        </is>
      </c>
      <c r="E108" s="8" t="inlineStr">
        <is>
          <t>Ragi Dosa (2 medium, 120g) + Coconut Mint Chutney (30g) + 2 Boiled Eggs [350 kcal, 19g P, 40g C, 13g F, ₹35]</t>
        </is>
      </c>
      <c r="F108" s="8" t="inlineStr">
        <is>
          <t>Steamed Idlis (3 pcs, 110g) + Vegetable Sambar (150ml) + 1 Boiled Egg [310 kcal, 13g P, 44g C, 8g F, ₹25]</t>
        </is>
      </c>
      <c r="G108" s="8" t="inlineStr">
        <is>
          <t>Vegetable Upma (180g) + Warm Toned Milk (150ml) [320 kcal, 11g P, 48g C, 9g F, ₹22]</t>
        </is>
      </c>
      <c r="H108" s="8" t="inlineStr">
        <is>
          <t>Fresh Seasonal Fruit (1 Medium Apple or 150g Papaya) + 6 Almonds [115 kcal, 3g P, 22g C, 3.5g F, ₹30] | Alt: Tender Coconut Water (220ml) [45 kcal, 1g P, 10g C, 0g F, ₹35]</t>
        </is>
      </c>
      <c r="I108" s="8" t="inlineStr">
        <is>
          <t>2 Soft Phulkas (80g) + Homestyle Egg Curry (2 eggs) + Cabbage &amp; Carrot Poriyal (140g) + Rasam [445 kcal, 22g P, 48g C, 16g F, ₹42]</t>
        </is>
      </c>
      <c r="J108" s="8" t="inlineStr">
        <is>
          <t>Sona Masoori Rice (150g) + Bengaluru Chicken Curry (95g meat) + Beans Palya (120g) [475 kcal, 34g P, 48g C, 14g F, ₹75]</t>
        </is>
      </c>
      <c r="K108" s="8" t="inlineStr">
        <is>
          <t>Rice (150g) + Thick Toor Dal Tadka (180g) + Fresh Curd (100g) + Tomato Cucumber Salad [440 kcal, 18g P, 56g C, 14g F, ₹40]</t>
        </is>
      </c>
      <c r="L108" s="8" t="inlineStr">
        <is>
          <t>Spiced Boiled Sundal / Chickpeas (80g) with lime [140 kcal, 7g P, 22g C, 3g F, ₹20] | Alt: Roasted Makhana (30g) in 1/2 tsp ghee &amp; rock salt [130 kcal, 3g P, 21g C, 3.5g F, ₹25]</t>
        </is>
      </c>
      <c r="M108" s="8" t="inlineStr">
        <is>
          <t>2 Soft Phulkas (75g) + Home Chicken Curry (100g meat) + Cucumber Salad (100g) [420 kcal, 31g P, 42g C, 12g F, ₹65]</t>
        </is>
      </c>
      <c r="N108" s="8" t="inlineStr">
        <is>
          <t>2 Phulkas (75g) + Fresh Paneer Bhurji (90g paneer, capsicum, onion) + Clear Soup [440 kcal, 20g P, 42g C, 20g F, ₹55]</t>
        </is>
      </c>
      <c r="O108" s="8" t="inlineStr">
        <is>
          <t>Rice-Moong Dal Khichdi (220g) + Curd (100g) + Lauki Sabzi (120g) [385 kcal, 14g P, 58g C, 8.5g F, ₹35]</t>
        </is>
      </c>
      <c r="P108" s="8" t="inlineStr">
        <is>
          <t>Optional Pre: 1 cup tender coconut water [45 kcal] • Post: 1 glass warm milk (150ml) [85 kcal, 5g P]</t>
        </is>
      </c>
      <c r="Q108" s="9" t="n">
        <v>1470</v>
      </c>
      <c r="R108" s="9" t="n">
        <v>82</v>
      </c>
      <c r="S108" s="9" t="n">
        <v>174</v>
      </c>
      <c r="T108" s="9" t="n">
        <v>47.5</v>
      </c>
      <c r="U108" s="9" t="n">
        <v>192</v>
      </c>
      <c r="V108" s="8" t="inlineStr">
        <is>
          <t>Mix ragi flour with equal water, pinch of salt, cumin seeds &amp; chopped onion. Pour on medium hot tawa. Cook vegetables in minimum oil with mustard seeds, curry leaves &amp; grated fresh coconut.</t>
        </is>
      </c>
    </row>
    <row r="109" ht="36" customHeight="1">
      <c r="A109" s="10" t="inlineStr">
        <is>
          <t>2027-02-08</t>
        </is>
      </c>
      <c r="B109" s="10" t="n">
        <v>108</v>
      </c>
      <c r="C109" s="10" t="inlineStr">
        <is>
          <t>Monday</t>
        </is>
      </c>
      <c r="D109" s="11" t="inlineStr">
        <is>
          <t>High-Fiber Soya Chunks &amp; Comfort Idli Sambar</t>
        </is>
      </c>
      <c r="E109" s="11" t="inlineStr">
        <is>
          <t>Steamed Idlis (3 pcs, 110g) + Vegetable Sambar (150ml) + 2 Boiled Eggs [340 kcal, 19g P, 38g C, 12g F, ₹35]</t>
        </is>
      </c>
      <c r="F109" s="11" t="inlineStr">
        <is>
          <t>Vegetable Poha (160g cooked) + 1 Boiled Egg [310 kcal, 12g P, 44g C, 9g F, ₹26]</t>
        </is>
      </c>
      <c r="G109" s="11" t="inlineStr">
        <is>
          <t>Rolled Oats cooked in toned milk (40g + 180ml milk) with 1/2 apple [290 kcal, 12g P, 45g C, 6g F, ₹30]</t>
        </is>
      </c>
      <c r="H109" s="11" t="inlineStr">
        <is>
          <t>Spiced Buttermilk / Majjige (220ml) with curry leaves &amp; ginger [45 kcal, 3g P, 4g C, 1.5g F, ₹15] | Alt: Fresh Papaya slices (150g) + 5 almonds [110 kcal, 3g P, 22g C, 3g F, ₹28]</t>
        </is>
      </c>
      <c r="I109" s="11" t="inlineStr">
        <is>
          <t>Sona Masoori Rice (150g cooked) + Soya Chunks Curry (45g dry soya chunks cooked in onion-tomato gravy) + French Beans Palya (130g) + Rasam [460 kcal, 31g P, 56g C, 9g F, ₹42]</t>
        </is>
      </c>
      <c r="J109" s="11" t="inlineStr">
        <is>
          <t>2 Phulkas (80g) + Chicken Curry (95g meat) + Cabbage Poriyal (120g) [440 kcal, 31g P, 44g C, 13g F, ₹65]</t>
        </is>
      </c>
      <c r="K109" s="11" t="inlineStr">
        <is>
          <t>Rice (150g) + Thick Toor Dal (180g) + 2 Boiled Eggs + Ridge Gourd Palya (120g) [455 kcal, 24g P, 52g C, 14g F, ₹40]</t>
        </is>
      </c>
      <c r="L109" s="11" t="inlineStr">
        <is>
          <t>Roasted Kadale / Chana (30g) + Hot Elaichi Tea (100ml milk) [140 kcal, 6g P, 20g C, 3.5g F, ₹18] | Alt: Roasted Makhana (30g) in ghee &amp; rock salt [130 kcal, 3g P, 21g C, 3.5g F, ₹25]</t>
        </is>
      </c>
      <c r="M109" s="11" t="inlineStr">
        <is>
          <t>2 Soft Phulkas (75g) + 2 Boiled Eggs in Mild Curry + Cucumber Carrot Salad (120g) [415 kcal, 21g P, 42g C, 15g F, ₹38]</t>
        </is>
      </c>
      <c r="N109" s="11" t="inlineStr">
        <is>
          <t>2 Phulkas (75g) + Paneer Bhurji (90g paneer, capsicum, tomato) + Warm Soup [445 kcal, 20g P, 44g C, 19g F, ₹58]</t>
        </is>
      </c>
      <c r="O109" s="11" t="inlineStr">
        <is>
          <t>2 Ragi Rotis (120g) + Chicken Curry (90g meat) + Cucumber Slices [425 kcal, 30g P, 46g C, 11g F, ₹68]</t>
        </is>
      </c>
      <c r="P109" s="11" t="inlineStr">
        <is>
          <t>Optional Pre: 1 small banana [70 kcal] • Post: 1 glass warm milk [90 kcal, 6g P]</t>
        </is>
      </c>
      <c r="Q109" s="12" t="n">
        <v>1400</v>
      </c>
      <c r="R109" s="12" t="n">
        <v>80</v>
      </c>
      <c r="S109" s="12" t="n">
        <v>160</v>
      </c>
      <c r="T109" s="12" t="n">
        <v>41</v>
      </c>
      <c r="U109" s="12" t="n">
        <v>151</v>
      </c>
      <c r="V109" s="11" t="inlineStr">
        <is>
          <t>Dip idlis in piping hot sambar. Eggs provide complete amino acid profile. Soak soya chunks in warm water for 15 mins. Squeeze out bitter water completely before cooking.</t>
        </is>
      </c>
    </row>
    <row r="110" ht="36" customHeight="1">
      <c r="A110" s="7" t="inlineStr">
        <is>
          <t>2027-02-09</t>
        </is>
      </c>
      <c r="B110" s="7" t="n">
        <v>109</v>
      </c>
      <c r="C110" s="7" t="inlineStr">
        <is>
          <t>Tuesday</t>
        </is>
      </c>
      <c r="D110" s="8" t="inlineStr">
        <is>
          <t>Comfort Steamed Staples &amp; Bengaluru Chicken Curry</t>
        </is>
      </c>
      <c r="E110" s="8" t="inlineStr">
        <is>
          <t>Steamed Idlis (3 pcs, 110g) + Veg Sambar (150ml) + 2 Boiled Eggs (100g) [340 kcal, 19g P, 38g C, 12g F, ₹35]</t>
        </is>
      </c>
      <c r="F110" s="8" t="inlineStr">
        <is>
          <t>Steamed Idlis (3 pcs) + Veg Sambar + 1 cup warm sprouted moong salad (100g) [310 kcal, 13g P, 46g C, 5g F, ₹25]</t>
        </is>
      </c>
      <c r="G110" s="8" t="inlineStr">
        <is>
          <t>Ragi Dosa (2 medium, 120g) + Mint Chutney (30g) + 1 Boiled Egg [320 kcal, 14g P, 42g C, 11g F, ₹28]</t>
        </is>
      </c>
      <c r="H110" s="8" t="inlineStr">
        <is>
          <t>Tender Coconut Water (220ml) + Handful Roasted Chana (25g) [130 kcal, 5g P, 22g C, 2g F, ₹40] | Alt: Fresh Papaya slices (150g) + 5 soaked almonds [110 kcal, 3g P, 22g C, 3g F, ₹30]</t>
        </is>
      </c>
      <c r="I110" s="8" t="inlineStr">
        <is>
          <t>Sona Masoori Rice (150g cooked / 55g raw) + Bengaluru Chicken Curry (130g raw / 95g cooked meat) + French Beans Palya (130g) + Pepper Rasam [475 kcal, 34g P, 48g C, 14g F, ₹75]</t>
        </is>
      </c>
      <c r="J110" s="8" t="inlineStr">
        <is>
          <t>2 Soft Wheat Phulkas (80g) + Homestyle Egg Curry (2 eggs in onion-tomato gravy) + Cabbage Poriyal (140g) [440 kcal, 21g P, 48g C, 16g F, ₹40]</t>
        </is>
      </c>
      <c r="K110" s="8" t="inlineStr">
        <is>
          <t>Sona Masoori Rice (150g) + Thick Toor Dal Tadka (180g) + Paneer Palya (80g paneer) + Fresh Curd (100g) [480 kcal, 23g P, 54g C, 18g F, ₹55]</t>
        </is>
      </c>
      <c r="L110" s="8" t="inlineStr">
        <is>
          <t>Spiced Boiled Sundal / Chickpeas (80g) with mustard tempering &amp; lemon [140 kcal, 7g P, 22g C, 3g F, ₹20] | Alt: Roasted Makhana (30g) in 1/2 tsp ghee &amp; rock salt [130 kcal, 3g P, 21g C, 3.5g F, ₹25]</t>
        </is>
      </c>
      <c r="M110" s="8" t="inlineStr">
        <is>
          <t>2 Soft Whole Wheat Phulkas (75g) + Grilled/Pan Chicken Curry (100g meat) + Cucumber Tomato Salad (120g) [420 kcal, 31g P, 42g C, 12g F, ₹65]</t>
        </is>
      </c>
      <c r="N110" s="8" t="inlineStr">
        <is>
          <t>2 Phulkas (75g) + Fresh Paneer Bhurji (90g paneer with capsicum &amp; onion) + Tomato Clear Soup [440 kcal, 20g P, 42g C, 20g F, ₹55]</t>
        </is>
      </c>
      <c r="O110" s="8" t="inlineStr">
        <is>
          <t>Warm Rice-Moong Dal Khichdi (220g) + Fresh Curd (100g) + Steamed Beetroot Poriyal (100g) [380 kcal, 14g P, 58g C, 8g F, ₹35]</t>
        </is>
      </c>
      <c r="P110" s="8" t="inlineStr">
        <is>
          <t>Optional Pre: 1 small banana (80g) [70 kcal] • Post: 1 glass warm toned milk with turmeric (180ml) [95 kcal, 6g P]</t>
        </is>
      </c>
      <c r="Q110" s="9" t="n">
        <v>1505</v>
      </c>
      <c r="R110" s="9" t="n">
        <v>96</v>
      </c>
      <c r="S110" s="9" t="n">
        <v>172</v>
      </c>
      <c r="T110" s="9" t="n">
        <v>43</v>
      </c>
      <c r="U110" s="9" t="n">
        <v>235</v>
      </c>
      <c r="V110" s="8" t="inlineStr">
        <is>
          <t>Steam idlis in idli cooker for 10-12 mins. Weigh 110g cooked on kitchen scale. Zero plate on scale, measure 150g warm rice, then add 95g cooked chicken meat without bones.</t>
        </is>
      </c>
    </row>
    <row r="111" ht="36" customHeight="1">
      <c r="A111" s="10" t="inlineStr">
        <is>
          <t>2027-02-10</t>
        </is>
      </c>
      <c r="B111" s="10" t="n">
        <v>110</v>
      </c>
      <c r="C111" s="10" t="inlineStr">
        <is>
          <t>Wednesday</t>
        </is>
      </c>
      <c r="D111" s="11" t="inlineStr">
        <is>
          <t>Iron-Rich Poha, Egg Curry &amp; Golden Turmeric Phulkas</t>
        </is>
      </c>
      <c r="E111" s="11" t="inlineStr">
        <is>
          <t>Vegetable Poha (160g cooked) tempered with mustard &amp; roasted peanuts (15g) + 1 Boiled Egg [330 kcal, 13g P, 44g C, 11g F, ₹28]</t>
        </is>
      </c>
      <c r="F111" s="11" t="inlineStr">
        <is>
          <t>Vegetable Poha (180g) + 1 glass warm toned milk (150ml) [310 kcal, 11g P, 48g C, 8g F, ₹24]</t>
        </is>
      </c>
      <c r="G111" s="11" t="inlineStr">
        <is>
          <t>Rolled Oats cooked in milk (40g oats + 180ml toned milk) with half diced apple [290 kcal, 12g P, 45g C, 6g F, ₹30]</t>
        </is>
      </c>
      <c r="H111" s="11" t="inlineStr">
        <is>
          <t>Spiced Majjige / Buttermilk (220ml) with grated ginger &amp; curry leaves [45 kcal, 3g P, 4g C, 1.5g F, ₹15] | Alt: 1 Crisp Guava or Apple (130g) with pinch of rock salt [75 kcal, 1.5g P, 18g C, 0.5g F, ₹20]</t>
        </is>
      </c>
      <c r="I111" s="11" t="inlineStr">
        <is>
          <t>2 Soft Phulkas (80g) + 2 Boiled Eggs in Onion-Tomato Gravy (120g gravy) + Ridge Gourd (Heerekayi) Palya (140g) [450 kcal, 22g P, 48g C, 17g F, ₹45]</t>
        </is>
      </c>
      <c r="J111" s="11" t="inlineStr">
        <is>
          <t>Sona Masoori Rice (150g) + Fish Curry (120g rohu/pomfret in light coconut gravy) + Beans Poriyal (120g) [460 kcal, 32g P, 46g C, 13g F, ₹80]</t>
        </is>
      </c>
      <c r="K111" s="11" t="inlineStr">
        <is>
          <t>Cooked Rice (150g) + Mixed Vegetable Sambar (180g) + Pan-seared Tofu or Paneer (80g) + Cucumber Slices [465 kcal, 21g P, 52g C, 17g F, ₹55]</t>
        </is>
      </c>
      <c r="L111" s="11" t="inlineStr">
        <is>
          <t>Boiled Sweet Corn (120g) with lemon squeeze &amp; chaat masala [120 kcal, 4g P, 24g C, 1.5g F, ₹20] | Alt: Roasted Kadale / Chana (30g) + Warm Elaichi Green Tea [125 kcal, 6g P, 18g C, 2.5g F, ₹15]</t>
        </is>
      </c>
      <c r="M111" s="11" t="inlineStr">
        <is>
          <t>2 Soft Phulkas (75g) + Fresh Paneer Bhurji (90g paneer, capsicum, tomato) + Warm Tomato Rasam (150ml) [445 kcal, 21g P, 44g C, 19g F, ₹60]</t>
        </is>
      </c>
      <c r="N111" s="11" t="inlineStr">
        <is>
          <t>2 Ragi Rotis (130g) + Chicken Curry (90g cooked meat) + Onion Cucumber Raita (80g) [430 kcal, 30g P, 46g C, 11g F, ₹70]</t>
        </is>
      </c>
      <c r="O111" s="11" t="inlineStr">
        <is>
          <t>Moong Dal Vegetable Dalia Khichdi (220g) + Fresh Curd (100g) [390 kcal, 16g P, 54g C, 9g F, ₹35]</t>
        </is>
      </c>
      <c r="P111" s="11" t="inlineStr">
        <is>
          <t>Optional Pre: 2 Medjool dates [80 kcal] • Post: 1 boiled egg white or 100g warm milk [55 kcal, 4g P]</t>
        </is>
      </c>
      <c r="Q111" s="12" t="n">
        <v>1390</v>
      </c>
      <c r="R111" s="12" t="n">
        <v>63</v>
      </c>
      <c r="S111" s="12" t="n">
        <v>164</v>
      </c>
      <c r="T111" s="12" t="n">
        <v>50</v>
      </c>
      <c r="U111" s="12" t="n">
        <v>168</v>
      </c>
      <c r="V111" s="11" t="inlineStr">
        <is>
          <t>Rinse thick poha in colander, drain well. Sauté with onion, curry leaves, carrots &amp; roasted peanuts. Prick boiled eggs gently before simmering in gravy to absorb rich flavours.</t>
        </is>
      </c>
    </row>
    <row r="112" ht="36" customHeight="1">
      <c r="A112" s="7" t="inlineStr">
        <is>
          <t>2027-02-11</t>
        </is>
      </c>
      <c r="B112" s="7" t="n">
        <v>111</v>
      </c>
      <c r="C112" s="7" t="inlineStr">
        <is>
          <t>Thursday</t>
        </is>
      </c>
      <c r="D112" s="8" t="inlineStr">
        <is>
          <t>Bengaluru Rava Upma &amp; Fresh Coastal Home Curry</t>
        </is>
      </c>
      <c r="E112" s="8" t="inlineStr">
        <is>
          <t>Bengaluru Vegetable Rava Upma (180g cooked) with roasted peanuts + 1 Boiled Egg [340 kcal, 14g P, 44g C, 12g F, ₹26]</t>
        </is>
      </c>
      <c r="F112" s="8" t="inlineStr">
        <is>
          <t>Vegetable Upma (180g) + 1 glass warm toned milk (150ml) [320 kcal, 11g P, 48g C, 9g F, ₹24]</t>
        </is>
      </c>
      <c r="G112" s="8" t="inlineStr">
        <is>
          <t>Steamed Idlis (3 pcs) with Mint Toor Dal Chutney (40g) + 1 Boiled Egg [320 kcal, 15g P, 42g C, 9g F, ₹28]</t>
        </is>
      </c>
      <c r="H112" s="8" t="inlineStr">
        <is>
          <t>Fresh Fruit Bowl (150g watermelon or papaya) + 6 soaked almonds [110 kcal, 3g P, 22g C, 3g F, ₹30] | Alt: Tender Coconut Water (220ml) [45 kcal, 1g P, 10g C, 0g F, ₹35]</t>
        </is>
      </c>
      <c r="I112" s="8" t="inlineStr">
        <is>
          <t>Sona Masoori Rice (150g cooked) + Bengaluru Fish Curry (120g fresh fish in light gravy) + Cabbage &amp; Pea Poriyal (130g) + Rasam [450 kcal, 33g P, 46g C, 13g F, ₹80]</t>
        </is>
      </c>
      <c r="J112" s="8" t="inlineStr">
        <is>
          <t>2 Phulkas (80g) + Chicken Curry (95g cooked meat) + Cucumber Carrot Salad (100g) [440 kcal, 31g P, 44g C, 13g F, ₹65]</t>
        </is>
      </c>
      <c r="K112" s="8" t="inlineStr">
        <is>
          <t>Rice (150g) + Thick Chana Dal (180g) + Beans Palya (130g) + Fresh Curd (100g) [470 kcal, 22g P, 56g C, 15g F, ₹45]</t>
        </is>
      </c>
      <c r="L112" s="8" t="inlineStr">
        <is>
          <t>Roasted Puri Kadale / Chana (30g) + Warm Ginger Tea (100ml low-fat milk) [140 kcal, 6g P, 20g C, 3.5g F, ₹18] | Alt: Spiced Boiled Moong Sprouts (80g) with lime &amp; salt [110 kcal, 7g P, 18g C, 1g F, ₹15]</t>
        </is>
      </c>
      <c r="M112" s="8" t="inlineStr">
        <is>
          <t>2 Soft Phulkas (75g) + Soya Chunks &amp; Green Pea Curry (45g dry soya + 50g peas) + Fresh Curd (80g) [420 kcal, 29g P, 48g C, 9g F, ₹40]</t>
        </is>
      </c>
      <c r="N112" s="8" t="inlineStr">
        <is>
          <t>2 Phulkas (75g) + 2 Boiled Eggs in Homestyle Curry (100g) + Sliced Cucumber [410 kcal, 21g P, 42g C, 15g F, ₹38]</t>
        </is>
      </c>
      <c r="O112" s="8" t="inlineStr">
        <is>
          <t>2 Ragi Rotis (120g) + Mixed Vegetable Sambar (180ml) + Sautéed Palak (100g) [380 kcal, 14g P, 54g C, 8g F, ₹30]</t>
        </is>
      </c>
      <c r="P112" s="8" t="inlineStr">
        <is>
          <t>Optional Pre: 1 cup tender coconut water [45 kcal] • Post: 1 glass warm milk (150ml) [85 kcal, 5g P]</t>
        </is>
      </c>
      <c r="Q112" s="9" t="n">
        <v>1460</v>
      </c>
      <c r="R112" s="9" t="n">
        <v>85</v>
      </c>
      <c r="S112" s="9" t="n">
        <v>180</v>
      </c>
      <c r="T112" s="9" t="n">
        <v>40.5</v>
      </c>
      <c r="U112" s="9" t="n">
        <v>194</v>
      </c>
      <c r="V112" s="8" t="inlineStr">
        <is>
          <t>Dry roast semolina lightly. Tempered with mustard seeds, chana dal, green chillies &amp; mixed veggies. Use fresh local fish cuts (rohu, pomfret, or seer fish). Simmer gently for 8 mins.</t>
        </is>
      </c>
    </row>
    <row r="113" ht="36" customHeight="1">
      <c r="A113" s="10" t="inlineStr">
        <is>
          <t>2027-02-12</t>
        </is>
      </c>
      <c r="B113" s="10" t="n">
        <v>112</v>
      </c>
      <c r="C113" s="10" t="inlineStr">
        <is>
          <t>Friday</t>
        </is>
      </c>
      <c r="D113" s="11" t="inlineStr">
        <is>
          <t>Nourishing Rolled Oats &amp; Tender Chicken Palya</t>
        </is>
      </c>
      <c r="E113" s="11" t="inlineStr">
        <is>
          <t>Warm Rolled Oats (40g dry + 180ml toned milk) + 1 Boiled Egg + Apple slices (50g) [345 kcal, 18g P, 46g C, 10g F, ₹35]</t>
        </is>
      </c>
      <c r="F113" s="11" t="inlineStr">
        <is>
          <t>Vegetable Poha (160g cooked) + 2 Boiled Eggs [360 kcal, 18g P, 42g C, 14g F, ₹32]</t>
        </is>
      </c>
      <c r="G113" s="11" t="inlineStr">
        <is>
          <t>2 Plain Dosas (120g) + Toor Dal Sambar (150ml) + 1 cup warm sprouted moong [330 kcal, 14g P, 48g C, 7g F, ₹25]</t>
        </is>
      </c>
      <c r="H113" s="11" t="inlineStr">
        <is>
          <t>Tender Coconut Water (220ml) + 5 Soaked Almonds [95 kcal, 3g P, 12g C, 4g F, ₹40] | Alt: Fresh Spiced Buttermilk (220ml) with coriander &amp; rock salt [45 kcal, 3g P, 4g C, 1.5g F, ₹15]</t>
        </is>
      </c>
      <c r="I113" s="11" t="inlineStr">
        <is>
          <t>Sona Masoori Rice (150g cooked) + Tender Chicken Curry (130g raw / 95g meat) + Palak (Spinach) Palya (140g) + Rasam [470 kcal, 35g P, 46g C, 13g F, ₹75]</t>
        </is>
      </c>
      <c r="J113" s="11" t="inlineStr">
        <is>
          <t>2 Soft Phulkas (80g) + Fresh Paneer Curry (85g paneer in light gravy) + French Beans Palya (120g) [450 kcal, 21g P, 44g C, 19g F, ₹55]</t>
        </is>
      </c>
      <c r="K113" s="11" t="inlineStr">
        <is>
          <t>Rice (150g) + Toor Dal Tadka (180g) + 2 Boiled Eggs + Beetroot Poriyal (120g) [460 kcal, 25g P, 52g C, 14g F, ₹42]</t>
        </is>
      </c>
      <c r="L113" s="11" t="inlineStr">
        <is>
          <t>Roasted Makhana (30g) + Hot Green Tea with lemon [130 kcal, 3g P, 21g C, 3.5g F, ₹25] | Alt: Boiled Chickpeas Sundal (70g) with mustard &amp; curry leaves [125 kcal, 6g P, 20g C, 2.5g F, ₹18]</t>
        </is>
      </c>
      <c r="M113" s="11" t="inlineStr">
        <is>
          <t>2 Soft Phulkas (75g) + 2 Boiled Eggs in Tomato Onion Curry + Cucumber Salad (100g) [415 kcal, 21g P, 42g C, 15g F, ₹38]</t>
        </is>
      </c>
      <c r="N113" s="11" t="inlineStr">
        <is>
          <t>2 Phulkas (75g) + Grilled Chicken Strips (100g cooked) + Mixed Sautéed Capsicum &amp; Onions [425 kcal, 32g P, 40g C, 11g F, ₹65]</t>
        </is>
      </c>
      <c r="O113" s="11" t="inlineStr">
        <is>
          <t>Warm Moong Dal Vegetable Khichdi (220g) + Fresh Curd (100g) [380 kcal, 15g P, 56g C, 8g F, ₹35]</t>
        </is>
      </c>
      <c r="P113" s="11" t="inlineStr">
        <is>
          <t>Optional Pre: 1 small banana [70 kcal] • Post: 1 cup warm turmeric milk [90 kcal, 6g P]</t>
        </is>
      </c>
      <c r="Q113" s="12" t="n">
        <v>1455</v>
      </c>
      <c r="R113" s="12" t="n">
        <v>80</v>
      </c>
      <c r="S113" s="12" t="n">
        <v>167</v>
      </c>
      <c r="T113" s="12" t="n">
        <v>45.5</v>
      </c>
      <c r="U113" s="12" t="n">
        <v>213</v>
      </c>
      <c r="V113" s="11" t="inlineStr">
        <is>
          <t>Cook oats in milk for 4 mins on medium flame. Stir in pinch of cinnamon powder. Weigh raw boneless chicken (130g). Steam spinach lightly with mustard tempering.</t>
        </is>
      </c>
    </row>
    <row r="114" ht="36" customHeight="1">
      <c r="A114" s="7" t="inlineStr">
        <is>
          <t>2027-02-13</t>
        </is>
      </c>
      <c r="B114" s="7" t="n">
        <v>113</v>
      </c>
      <c r="C114" s="7" t="inlineStr">
        <is>
          <t>Saturday</t>
        </is>
      </c>
      <c r="D114" s="8" t="inlineStr">
        <is>
          <t>Calcium-Rich Ragi Dosa &amp; Fresh Country Egg Feast</t>
        </is>
      </c>
      <c r="E114" s="8" t="inlineStr">
        <is>
          <t>Ragi Dosa (2 medium, 120g) + Coconut Mint Chutney (30g) + 2 Boiled Eggs [350 kcal, 19g P, 40g C, 13g F, ₹35]</t>
        </is>
      </c>
      <c r="F114" s="8" t="inlineStr">
        <is>
          <t>Steamed Idlis (3 pcs, 110g) + Vegetable Sambar (150ml) + 1 Boiled Egg [310 kcal, 13g P, 44g C, 8g F, ₹25]</t>
        </is>
      </c>
      <c r="G114" s="8" t="inlineStr">
        <is>
          <t>Vegetable Upma (180g) + Warm Toned Milk (150ml) [320 kcal, 11g P, 48g C, 9g F, ₹22]</t>
        </is>
      </c>
      <c r="H114" s="8" t="inlineStr">
        <is>
          <t>Fresh Seasonal Fruit (1 Medium Apple or 150g Papaya) + 6 Almonds [115 kcal, 3g P, 22g C, 3.5g F, ₹30] | Alt: Tender Coconut Water (220ml) [45 kcal, 1g P, 10g C, 0g F, ₹35]</t>
        </is>
      </c>
      <c r="I114" s="8" t="inlineStr">
        <is>
          <t>2 Soft Phulkas (80g) + Homestyle Egg Curry (2 eggs) + Cabbage &amp; Carrot Poriyal (140g) + Rasam [445 kcal, 22g P, 48g C, 16g F, ₹42]</t>
        </is>
      </c>
      <c r="J114" s="8" t="inlineStr">
        <is>
          <t>Sona Masoori Rice (150g) + Bengaluru Chicken Curry (95g meat) + Beans Palya (120g) [475 kcal, 34g P, 48g C, 14g F, ₹75]</t>
        </is>
      </c>
      <c r="K114" s="8" t="inlineStr">
        <is>
          <t>Rice (150g) + Thick Toor Dal Tadka (180g) + Fresh Curd (100g) + Tomato Cucumber Salad [440 kcal, 18g P, 56g C, 14g F, ₹40]</t>
        </is>
      </c>
      <c r="L114" s="8" t="inlineStr">
        <is>
          <t>Spiced Boiled Sundal / Chickpeas (80g) with lime [140 kcal, 7g P, 22g C, 3g F, ₹20] | Alt: Roasted Makhana (30g) in 1/2 tsp ghee &amp; rock salt [130 kcal, 3g P, 21g C, 3.5g F, ₹25]</t>
        </is>
      </c>
      <c r="M114" s="8" t="inlineStr">
        <is>
          <t>2 Soft Phulkas (75g) + Home Chicken Curry (100g meat) + Cucumber Salad (100g) [420 kcal, 31g P, 42g C, 12g F, ₹65]</t>
        </is>
      </c>
      <c r="N114" s="8" t="inlineStr">
        <is>
          <t>2 Phulkas (75g) + Fresh Paneer Bhurji (90g paneer, capsicum, onion) + Clear Soup [440 kcal, 20g P, 42g C, 20g F, ₹55]</t>
        </is>
      </c>
      <c r="O114" s="8" t="inlineStr">
        <is>
          <t>Rice-Moong Dal Khichdi (220g) + Curd (100g) + Lauki Sabzi (120g) [385 kcal, 14g P, 58g C, 8.5g F, ₹35]</t>
        </is>
      </c>
      <c r="P114" s="8" t="inlineStr">
        <is>
          <t>Optional Pre: 1 cup tender coconut water [45 kcal] • Post: 1 glass warm milk (150ml) [85 kcal, 5g P]</t>
        </is>
      </c>
      <c r="Q114" s="9" t="n">
        <v>1470</v>
      </c>
      <c r="R114" s="9" t="n">
        <v>82</v>
      </c>
      <c r="S114" s="9" t="n">
        <v>174</v>
      </c>
      <c r="T114" s="9" t="n">
        <v>47.5</v>
      </c>
      <c r="U114" s="9" t="n">
        <v>192</v>
      </c>
      <c r="V114" s="8" t="inlineStr">
        <is>
          <t>Mix ragi flour with equal water, pinch of salt, cumin seeds &amp; chopped onion. Pour on medium hot tawa. Cook vegetables in minimum oil with mustard seeds, curry leaves &amp; grated fresh coconut.</t>
        </is>
      </c>
    </row>
    <row r="115" ht="36" customHeight="1">
      <c r="A115" s="10" t="inlineStr">
        <is>
          <t>2027-02-14</t>
        </is>
      </c>
      <c r="B115" s="10" t="n">
        <v>114</v>
      </c>
      <c r="C115" s="10" t="inlineStr">
        <is>
          <t>Sunday</t>
        </is>
      </c>
      <c r="D115" s="11" t="inlineStr">
        <is>
          <t>High-Fiber Soya Chunks &amp; Comfort Idli Sambar</t>
        </is>
      </c>
      <c r="E115" s="11" t="inlineStr">
        <is>
          <t>Steamed Idlis (3 pcs, 110g) + Vegetable Sambar (150ml) + 2 Boiled Eggs [340 kcal, 19g P, 38g C, 12g F, ₹35]</t>
        </is>
      </c>
      <c r="F115" s="11" t="inlineStr">
        <is>
          <t>Vegetable Poha (160g cooked) + 1 Boiled Egg [310 kcal, 12g P, 44g C, 9g F, ₹26]</t>
        </is>
      </c>
      <c r="G115" s="11" t="inlineStr">
        <is>
          <t>Rolled Oats cooked in toned milk (40g + 180ml milk) with 1/2 apple [290 kcal, 12g P, 45g C, 6g F, ₹30]</t>
        </is>
      </c>
      <c r="H115" s="11" t="inlineStr">
        <is>
          <t>Spiced Buttermilk / Majjige (220ml) with curry leaves &amp; ginger [45 kcal, 3g P, 4g C, 1.5g F, ₹15] | Alt: Fresh Papaya slices (150g) + 5 almonds [110 kcal, 3g P, 22g C, 3g F, ₹28]</t>
        </is>
      </c>
      <c r="I115" s="11" t="inlineStr">
        <is>
          <t>Sona Masoori Rice (150g cooked) + Soya Chunks Curry (45g dry soya chunks cooked in onion-tomato gravy) + French Beans Palya (130g) + Rasam [460 kcal, 31g P, 56g C, 9g F, ₹42]</t>
        </is>
      </c>
      <c r="J115" s="11" t="inlineStr">
        <is>
          <t>2 Phulkas (80g) + Chicken Curry (95g meat) + Cabbage Poriyal (120g) [440 kcal, 31g P, 44g C, 13g F, ₹65]</t>
        </is>
      </c>
      <c r="K115" s="11" t="inlineStr">
        <is>
          <t>Rice (150g) + Thick Toor Dal (180g) + 2 Boiled Eggs + Ridge Gourd Palya (120g) [455 kcal, 24g P, 52g C, 14g F, ₹40]</t>
        </is>
      </c>
      <c r="L115" s="11" t="inlineStr">
        <is>
          <t>Roasted Kadale / Chana (30g) + Hot Elaichi Tea (100ml milk) [140 kcal, 6g P, 20g C, 3.5g F, ₹18] | Alt: Roasted Makhana (30g) in ghee &amp; rock salt [130 kcal, 3g P, 21g C, 3.5g F, ₹25]</t>
        </is>
      </c>
      <c r="M115" s="11" t="inlineStr">
        <is>
          <t>2 Soft Phulkas (75g) + 2 Boiled Eggs in Mild Curry + Cucumber Carrot Salad (120g) [415 kcal, 21g P, 42g C, 15g F, ₹38]</t>
        </is>
      </c>
      <c r="N115" s="11" t="inlineStr">
        <is>
          <t>2 Phulkas (75g) + Paneer Bhurji (90g paneer, capsicum, tomato) + Warm Soup [445 kcal, 20g P, 44g C, 19g F, ₹58]</t>
        </is>
      </c>
      <c r="O115" s="11" t="inlineStr">
        <is>
          <t>2 Ragi Rotis (120g) + Chicken Curry (90g meat) + Cucumber Slices [425 kcal, 30g P, 46g C, 11g F, ₹68]</t>
        </is>
      </c>
      <c r="P115" s="11" t="inlineStr">
        <is>
          <t>Optional Pre: 1 small banana [70 kcal] • Post: 1 glass warm milk [90 kcal, 6g P]</t>
        </is>
      </c>
      <c r="Q115" s="12" t="n">
        <v>1400</v>
      </c>
      <c r="R115" s="12" t="n">
        <v>80</v>
      </c>
      <c r="S115" s="12" t="n">
        <v>160</v>
      </c>
      <c r="T115" s="12" t="n">
        <v>41</v>
      </c>
      <c r="U115" s="12" t="n">
        <v>151</v>
      </c>
      <c r="V115" s="11" t="inlineStr">
        <is>
          <t>Dip idlis in piping hot sambar. Eggs provide complete amino acid profile. Soak soya chunks in warm water for 15 mins. Squeeze out bitter water completely before cooking.</t>
        </is>
      </c>
    </row>
    <row r="116" ht="36" customHeight="1">
      <c r="A116" s="7" t="inlineStr">
        <is>
          <t>2027-02-15</t>
        </is>
      </c>
      <c r="B116" s="7" t="n">
        <v>115</v>
      </c>
      <c r="C116" s="7" t="inlineStr">
        <is>
          <t>Monday</t>
        </is>
      </c>
      <c r="D116" s="8" t="inlineStr">
        <is>
          <t>Comfort Steamed Staples &amp; Bengaluru Chicken Curry</t>
        </is>
      </c>
      <c r="E116" s="8" t="inlineStr">
        <is>
          <t>Steamed Idlis (3 pcs, 110g) + Veg Sambar (150ml) + 2 Boiled Eggs (100g) [340 kcal, 19g P, 38g C, 12g F, ₹35]</t>
        </is>
      </c>
      <c r="F116" s="8" t="inlineStr">
        <is>
          <t>Steamed Idlis (3 pcs) + Veg Sambar + 1 cup warm sprouted moong salad (100g) [310 kcal, 13g P, 46g C, 5g F, ₹25]</t>
        </is>
      </c>
      <c r="G116" s="8" t="inlineStr">
        <is>
          <t>Ragi Dosa (2 medium, 120g) + Mint Chutney (30g) + 1 Boiled Egg [320 kcal, 14g P, 42g C, 11g F, ₹28]</t>
        </is>
      </c>
      <c r="H116" s="8" t="inlineStr">
        <is>
          <t>Tender Coconut Water (220ml) + Handful Roasted Chana (25g) [130 kcal, 5g P, 22g C, 2g F, ₹40] | Alt: Fresh Papaya slices (150g) + 5 soaked almonds [110 kcal, 3g P, 22g C, 3g F, ₹30]</t>
        </is>
      </c>
      <c r="I116" s="8" t="inlineStr">
        <is>
          <t>Sona Masoori Rice (150g cooked / 55g raw) + Bengaluru Chicken Curry (130g raw / 95g cooked meat) + French Beans Palya (130g) + Pepper Rasam [475 kcal, 34g P, 48g C, 14g F, ₹75]</t>
        </is>
      </c>
      <c r="J116" s="8" t="inlineStr">
        <is>
          <t>2 Soft Wheat Phulkas (80g) + Homestyle Egg Curry (2 eggs in onion-tomato gravy) + Cabbage Poriyal (140g) [440 kcal, 21g P, 48g C, 16g F, ₹40]</t>
        </is>
      </c>
      <c r="K116" s="8" t="inlineStr">
        <is>
          <t>Sona Masoori Rice (150g) + Thick Toor Dal Tadka (180g) + Paneer Palya (80g paneer) + Fresh Curd (100g) [480 kcal, 23g P, 54g C, 18g F, ₹55]</t>
        </is>
      </c>
      <c r="L116" s="8" t="inlineStr">
        <is>
          <t>Spiced Boiled Sundal / Chickpeas (80g) with mustard tempering &amp; lemon [140 kcal, 7g P, 22g C, 3g F, ₹20] | Alt: Roasted Makhana (30g) in 1/2 tsp ghee &amp; rock salt [130 kcal, 3g P, 21g C, 3.5g F, ₹25]</t>
        </is>
      </c>
      <c r="M116" s="8" t="inlineStr">
        <is>
          <t>2 Soft Whole Wheat Phulkas (75g) + Grilled/Pan Chicken Curry (100g meat) + Cucumber Tomato Salad (120g) [420 kcal, 31g P, 42g C, 12g F, ₹65]</t>
        </is>
      </c>
      <c r="N116" s="8" t="inlineStr">
        <is>
          <t>2 Phulkas (75g) + Fresh Paneer Bhurji (90g paneer with capsicum &amp; onion) + Tomato Clear Soup [440 kcal, 20g P, 42g C, 20g F, ₹55]</t>
        </is>
      </c>
      <c r="O116" s="8" t="inlineStr">
        <is>
          <t>Warm Rice-Moong Dal Khichdi (220g) + Fresh Curd (100g) + Steamed Beetroot Poriyal (100g) [380 kcal, 14g P, 58g C, 8g F, ₹35]</t>
        </is>
      </c>
      <c r="P116" s="8" t="inlineStr">
        <is>
          <t>Optional Pre: 1 small banana (80g) [70 kcal] • Post: 1 glass warm toned milk with turmeric (180ml) [95 kcal, 6g P]</t>
        </is>
      </c>
      <c r="Q116" s="9" t="n">
        <v>1505</v>
      </c>
      <c r="R116" s="9" t="n">
        <v>96</v>
      </c>
      <c r="S116" s="9" t="n">
        <v>172</v>
      </c>
      <c r="T116" s="9" t="n">
        <v>43</v>
      </c>
      <c r="U116" s="9" t="n">
        <v>235</v>
      </c>
      <c r="V116" s="8" t="inlineStr">
        <is>
          <t>Steam idlis in idli cooker for 10-12 mins. Weigh 110g cooked on kitchen scale. Zero plate on scale, measure 150g warm rice, then add 95g cooked chicken meat without bones.</t>
        </is>
      </c>
    </row>
    <row r="117" ht="36" customHeight="1">
      <c r="A117" s="10" t="inlineStr">
        <is>
          <t>2027-02-16</t>
        </is>
      </c>
      <c r="B117" s="10" t="n">
        <v>116</v>
      </c>
      <c r="C117" s="10" t="inlineStr">
        <is>
          <t>Tuesday</t>
        </is>
      </c>
      <c r="D117" s="11" t="inlineStr">
        <is>
          <t>Iron-Rich Poha, Egg Curry &amp; Golden Turmeric Phulkas</t>
        </is>
      </c>
      <c r="E117" s="11" t="inlineStr">
        <is>
          <t>Vegetable Poha (160g cooked) tempered with mustard &amp; roasted peanuts (15g) + 1 Boiled Egg [330 kcal, 13g P, 44g C, 11g F, ₹28]</t>
        </is>
      </c>
      <c r="F117" s="11" t="inlineStr">
        <is>
          <t>Vegetable Poha (180g) + 1 glass warm toned milk (150ml) [310 kcal, 11g P, 48g C, 8g F, ₹24]</t>
        </is>
      </c>
      <c r="G117" s="11" t="inlineStr">
        <is>
          <t>Rolled Oats cooked in milk (40g oats + 180ml toned milk) with half diced apple [290 kcal, 12g P, 45g C, 6g F, ₹30]</t>
        </is>
      </c>
      <c r="H117" s="11" t="inlineStr">
        <is>
          <t>Spiced Majjige / Buttermilk (220ml) with grated ginger &amp; curry leaves [45 kcal, 3g P, 4g C, 1.5g F, ₹15] | Alt: 1 Crisp Guava or Apple (130g) with pinch of rock salt [75 kcal, 1.5g P, 18g C, 0.5g F, ₹20]</t>
        </is>
      </c>
      <c r="I117" s="11" t="inlineStr">
        <is>
          <t>2 Soft Phulkas (80g) + 2 Boiled Eggs in Onion-Tomato Gravy (120g gravy) + Ridge Gourd (Heerekayi) Palya (140g) [450 kcal, 22g P, 48g C, 17g F, ₹45]</t>
        </is>
      </c>
      <c r="J117" s="11" t="inlineStr">
        <is>
          <t>Sona Masoori Rice (150g) + Fish Curry (120g rohu/pomfret in light coconut gravy) + Beans Poriyal (120g) [460 kcal, 32g P, 46g C, 13g F, ₹80]</t>
        </is>
      </c>
      <c r="K117" s="11" t="inlineStr">
        <is>
          <t>Cooked Rice (150g) + Mixed Vegetable Sambar (180g) + Pan-seared Tofu or Paneer (80g) + Cucumber Slices [465 kcal, 21g P, 52g C, 17g F, ₹55]</t>
        </is>
      </c>
      <c r="L117" s="11" t="inlineStr">
        <is>
          <t>Boiled Sweet Corn (120g) with lemon squeeze &amp; chaat masala [120 kcal, 4g P, 24g C, 1.5g F, ₹20] | Alt: Roasted Kadale / Chana (30g) + Warm Elaichi Green Tea [125 kcal, 6g P, 18g C, 2.5g F, ₹15]</t>
        </is>
      </c>
      <c r="M117" s="11" t="inlineStr">
        <is>
          <t>2 Soft Phulkas (75g) + Fresh Paneer Bhurji (90g paneer, capsicum, tomato) + Warm Tomato Rasam (150ml) [445 kcal, 21g P, 44g C, 19g F, ₹60]</t>
        </is>
      </c>
      <c r="N117" s="11" t="inlineStr">
        <is>
          <t>2 Ragi Rotis (130g) + Chicken Curry (90g cooked meat) + Onion Cucumber Raita (80g) [430 kcal, 30g P, 46g C, 11g F, ₹70]</t>
        </is>
      </c>
      <c r="O117" s="11" t="inlineStr">
        <is>
          <t>Moong Dal Vegetable Dalia Khichdi (220g) + Fresh Curd (100g) [390 kcal, 16g P, 54g C, 9g F, ₹35]</t>
        </is>
      </c>
      <c r="P117" s="11" t="inlineStr">
        <is>
          <t>Optional Pre: 2 Medjool dates [80 kcal] • Post: 1 boiled egg white or 100g warm milk [55 kcal, 4g P]</t>
        </is>
      </c>
      <c r="Q117" s="12" t="n">
        <v>1390</v>
      </c>
      <c r="R117" s="12" t="n">
        <v>63</v>
      </c>
      <c r="S117" s="12" t="n">
        <v>164</v>
      </c>
      <c r="T117" s="12" t="n">
        <v>50</v>
      </c>
      <c r="U117" s="12" t="n">
        <v>168</v>
      </c>
      <c r="V117" s="11" t="inlineStr">
        <is>
          <t>Rinse thick poha in colander, drain well. Sauté with onion, curry leaves, carrots &amp; roasted peanuts. Prick boiled eggs gently before simmering in gravy to absorb rich flavours.</t>
        </is>
      </c>
    </row>
    <row r="118" ht="36" customHeight="1">
      <c r="A118" s="7" t="inlineStr">
        <is>
          <t>2027-02-17</t>
        </is>
      </c>
      <c r="B118" s="7" t="n">
        <v>117</v>
      </c>
      <c r="C118" s="7" t="inlineStr">
        <is>
          <t>Wednesday</t>
        </is>
      </c>
      <c r="D118" s="8" t="inlineStr">
        <is>
          <t>Bengaluru Rava Upma &amp; Fresh Coastal Home Curry</t>
        </is>
      </c>
      <c r="E118" s="8" t="inlineStr">
        <is>
          <t>Bengaluru Vegetable Rava Upma (180g cooked) with roasted peanuts + 1 Boiled Egg [340 kcal, 14g P, 44g C, 12g F, ₹26]</t>
        </is>
      </c>
      <c r="F118" s="8" t="inlineStr">
        <is>
          <t>Vegetable Upma (180g) + 1 glass warm toned milk (150ml) [320 kcal, 11g P, 48g C, 9g F, ₹24]</t>
        </is>
      </c>
      <c r="G118" s="8" t="inlineStr">
        <is>
          <t>Steamed Idlis (3 pcs) with Mint Toor Dal Chutney (40g) + 1 Boiled Egg [320 kcal, 15g P, 42g C, 9g F, ₹28]</t>
        </is>
      </c>
      <c r="H118" s="8" t="inlineStr">
        <is>
          <t>Fresh Fruit Bowl (150g watermelon or papaya) + 6 soaked almonds [110 kcal, 3g P, 22g C, 3g F, ₹30] | Alt: Tender Coconut Water (220ml) [45 kcal, 1g P, 10g C, 0g F, ₹35]</t>
        </is>
      </c>
      <c r="I118" s="8" t="inlineStr">
        <is>
          <t>Sona Masoori Rice (150g cooked) + Bengaluru Fish Curry (120g fresh fish in light gravy) + Cabbage &amp; Pea Poriyal (130g) + Rasam [450 kcal, 33g P, 46g C, 13g F, ₹80]</t>
        </is>
      </c>
      <c r="J118" s="8" t="inlineStr">
        <is>
          <t>2 Phulkas (80g) + Chicken Curry (95g cooked meat) + Cucumber Carrot Salad (100g) [440 kcal, 31g P, 44g C, 13g F, ₹65]</t>
        </is>
      </c>
      <c r="K118" s="8" t="inlineStr">
        <is>
          <t>Rice (150g) + Thick Chana Dal (180g) + Beans Palya (130g) + Fresh Curd (100g) [470 kcal, 22g P, 56g C, 15g F, ₹45]</t>
        </is>
      </c>
      <c r="L118" s="8" t="inlineStr">
        <is>
          <t>Roasted Puri Kadale / Chana (30g) + Warm Ginger Tea (100ml low-fat milk) [140 kcal, 6g P, 20g C, 3.5g F, ₹18] | Alt: Spiced Boiled Moong Sprouts (80g) with lime &amp; salt [110 kcal, 7g P, 18g C, 1g F, ₹15]</t>
        </is>
      </c>
      <c r="M118" s="8" t="inlineStr">
        <is>
          <t>2 Soft Phulkas (75g) + Soya Chunks &amp; Green Pea Curry (45g dry soya + 50g peas) + Fresh Curd (80g) [420 kcal, 29g P, 48g C, 9g F, ₹40]</t>
        </is>
      </c>
      <c r="N118" s="8" t="inlineStr">
        <is>
          <t>2 Phulkas (75g) + 2 Boiled Eggs in Homestyle Curry (100g) + Sliced Cucumber [410 kcal, 21g P, 42g C, 15g F, ₹38]</t>
        </is>
      </c>
      <c r="O118" s="8" t="inlineStr">
        <is>
          <t>2 Ragi Rotis (120g) + Mixed Vegetable Sambar (180ml) + Sautéed Palak (100g) [380 kcal, 14g P, 54g C, 8g F, ₹30]</t>
        </is>
      </c>
      <c r="P118" s="8" t="inlineStr">
        <is>
          <t>Optional Pre: 1 cup tender coconut water [45 kcal] • Post: 1 glass warm milk (150ml) [85 kcal, 5g P]</t>
        </is>
      </c>
      <c r="Q118" s="9" t="n">
        <v>1460</v>
      </c>
      <c r="R118" s="9" t="n">
        <v>85</v>
      </c>
      <c r="S118" s="9" t="n">
        <v>180</v>
      </c>
      <c r="T118" s="9" t="n">
        <v>40.5</v>
      </c>
      <c r="U118" s="9" t="n">
        <v>194</v>
      </c>
      <c r="V118" s="8" t="inlineStr">
        <is>
          <t>Dry roast semolina lightly. Tempered with mustard seeds, chana dal, green chillies &amp; mixed veggies. Use fresh local fish cuts (rohu, pomfret, or seer fish). Simmer gently for 8 mins.</t>
        </is>
      </c>
    </row>
    <row r="119" ht="36" customHeight="1">
      <c r="A119" s="10" t="inlineStr">
        <is>
          <t>2027-02-18</t>
        </is>
      </c>
      <c r="B119" s="10" t="n">
        <v>118</v>
      </c>
      <c r="C119" s="10" t="inlineStr">
        <is>
          <t>Thursday</t>
        </is>
      </c>
      <c r="D119" s="11" t="inlineStr">
        <is>
          <t>Nourishing Rolled Oats &amp; Tender Chicken Palya</t>
        </is>
      </c>
      <c r="E119" s="11" t="inlineStr">
        <is>
          <t>Warm Rolled Oats (40g dry + 180ml toned milk) + 1 Boiled Egg + Apple slices (50g) [345 kcal, 18g P, 46g C, 10g F, ₹35]</t>
        </is>
      </c>
      <c r="F119" s="11" t="inlineStr">
        <is>
          <t>Vegetable Poha (160g cooked) + 2 Boiled Eggs [360 kcal, 18g P, 42g C, 14g F, ₹32]</t>
        </is>
      </c>
      <c r="G119" s="11" t="inlineStr">
        <is>
          <t>2 Plain Dosas (120g) + Toor Dal Sambar (150ml) + 1 cup warm sprouted moong [330 kcal, 14g P, 48g C, 7g F, ₹25]</t>
        </is>
      </c>
      <c r="H119" s="11" t="inlineStr">
        <is>
          <t>Tender Coconut Water (220ml) + 5 Soaked Almonds [95 kcal, 3g P, 12g C, 4g F, ₹40] | Alt: Fresh Spiced Buttermilk (220ml) with coriander &amp; rock salt [45 kcal, 3g P, 4g C, 1.5g F, ₹15]</t>
        </is>
      </c>
      <c r="I119" s="11" t="inlineStr">
        <is>
          <t>Sona Masoori Rice (150g cooked) + Tender Chicken Curry (130g raw / 95g meat) + Palak (Spinach) Palya (140g) + Rasam [470 kcal, 35g P, 46g C, 13g F, ₹75]</t>
        </is>
      </c>
      <c r="J119" s="11" t="inlineStr">
        <is>
          <t>2 Soft Phulkas (80g) + Fresh Paneer Curry (85g paneer in light gravy) + French Beans Palya (120g) [450 kcal, 21g P, 44g C, 19g F, ₹55]</t>
        </is>
      </c>
      <c r="K119" s="11" t="inlineStr">
        <is>
          <t>Rice (150g) + Toor Dal Tadka (180g) + 2 Boiled Eggs + Beetroot Poriyal (120g) [460 kcal, 25g P, 52g C, 14g F, ₹42]</t>
        </is>
      </c>
      <c r="L119" s="11" t="inlineStr">
        <is>
          <t>Roasted Makhana (30g) + Hot Green Tea with lemon [130 kcal, 3g P, 21g C, 3.5g F, ₹25] | Alt: Boiled Chickpeas Sundal (70g) with mustard &amp; curry leaves [125 kcal, 6g P, 20g C, 2.5g F, ₹18]</t>
        </is>
      </c>
      <c r="M119" s="11" t="inlineStr">
        <is>
          <t>2 Soft Phulkas (75g) + 2 Boiled Eggs in Tomato Onion Curry + Cucumber Salad (100g) [415 kcal, 21g P, 42g C, 15g F, ₹38]</t>
        </is>
      </c>
      <c r="N119" s="11" t="inlineStr">
        <is>
          <t>2 Phulkas (75g) + Grilled Chicken Strips (100g cooked) + Mixed Sautéed Capsicum &amp; Onions [425 kcal, 32g P, 40g C, 11g F, ₹65]</t>
        </is>
      </c>
      <c r="O119" s="11" t="inlineStr">
        <is>
          <t>Warm Moong Dal Vegetable Khichdi (220g) + Fresh Curd (100g) [380 kcal, 15g P, 56g C, 8g F, ₹35]</t>
        </is>
      </c>
      <c r="P119" s="11" t="inlineStr">
        <is>
          <t>Optional Pre: 1 small banana [70 kcal] • Post: 1 cup warm turmeric milk [90 kcal, 6g P]</t>
        </is>
      </c>
      <c r="Q119" s="12" t="n">
        <v>1455</v>
      </c>
      <c r="R119" s="12" t="n">
        <v>80</v>
      </c>
      <c r="S119" s="12" t="n">
        <v>167</v>
      </c>
      <c r="T119" s="12" t="n">
        <v>45.5</v>
      </c>
      <c r="U119" s="12" t="n">
        <v>213</v>
      </c>
      <c r="V119" s="11" t="inlineStr">
        <is>
          <t>Cook oats in milk for 4 mins on medium flame. Stir in pinch of cinnamon powder. Weigh raw boneless chicken (130g). Steam spinach lightly with mustard tempering.</t>
        </is>
      </c>
    </row>
    <row r="120" ht="36" customHeight="1">
      <c r="A120" s="7" t="inlineStr">
        <is>
          <t>2027-02-19</t>
        </is>
      </c>
      <c r="B120" s="7" t="n">
        <v>119</v>
      </c>
      <c r="C120" s="7" t="inlineStr">
        <is>
          <t>Friday</t>
        </is>
      </c>
      <c r="D120" s="8" t="inlineStr">
        <is>
          <t>Calcium-Rich Ragi Dosa &amp; Fresh Country Egg Feast</t>
        </is>
      </c>
      <c r="E120" s="8" t="inlineStr">
        <is>
          <t>Ragi Dosa (2 medium, 120g) + Coconut Mint Chutney (30g) + 2 Boiled Eggs [350 kcal, 19g P, 40g C, 13g F, ₹35]</t>
        </is>
      </c>
      <c r="F120" s="8" t="inlineStr">
        <is>
          <t>Steamed Idlis (3 pcs, 110g) + Vegetable Sambar (150ml) + 1 Boiled Egg [310 kcal, 13g P, 44g C, 8g F, ₹25]</t>
        </is>
      </c>
      <c r="G120" s="8" t="inlineStr">
        <is>
          <t>Vegetable Upma (180g) + Warm Toned Milk (150ml) [320 kcal, 11g P, 48g C, 9g F, ₹22]</t>
        </is>
      </c>
      <c r="H120" s="8" t="inlineStr">
        <is>
          <t>Fresh Seasonal Fruit (1 Medium Apple or 150g Papaya) + 6 Almonds [115 kcal, 3g P, 22g C, 3.5g F, ₹30] | Alt: Tender Coconut Water (220ml) [45 kcal, 1g P, 10g C, 0g F, ₹35]</t>
        </is>
      </c>
      <c r="I120" s="8" t="inlineStr">
        <is>
          <t>2 Soft Phulkas (80g) + Homestyle Egg Curry (2 eggs) + Cabbage &amp; Carrot Poriyal (140g) + Rasam [445 kcal, 22g P, 48g C, 16g F, ₹42]</t>
        </is>
      </c>
      <c r="J120" s="8" t="inlineStr">
        <is>
          <t>Sona Masoori Rice (150g) + Bengaluru Chicken Curry (95g meat) + Beans Palya (120g) [475 kcal, 34g P, 48g C, 14g F, ₹75]</t>
        </is>
      </c>
      <c r="K120" s="8" t="inlineStr">
        <is>
          <t>Rice (150g) + Thick Toor Dal Tadka (180g) + Fresh Curd (100g) + Tomato Cucumber Salad [440 kcal, 18g P, 56g C, 14g F, ₹40]</t>
        </is>
      </c>
      <c r="L120" s="8" t="inlineStr">
        <is>
          <t>Spiced Boiled Sundal / Chickpeas (80g) with lime [140 kcal, 7g P, 22g C, 3g F, ₹20] | Alt: Roasted Makhana (30g) in 1/2 tsp ghee &amp; rock salt [130 kcal, 3g P, 21g C, 3.5g F, ₹25]</t>
        </is>
      </c>
      <c r="M120" s="8" t="inlineStr">
        <is>
          <t>2 Soft Phulkas (75g) + Home Chicken Curry (100g meat) + Cucumber Salad (100g) [420 kcal, 31g P, 42g C, 12g F, ₹65]</t>
        </is>
      </c>
      <c r="N120" s="8" t="inlineStr">
        <is>
          <t>2 Phulkas (75g) + Fresh Paneer Bhurji (90g paneer, capsicum, onion) + Clear Soup [440 kcal, 20g P, 42g C, 20g F, ₹55]</t>
        </is>
      </c>
      <c r="O120" s="8" t="inlineStr">
        <is>
          <t>Rice-Moong Dal Khichdi (220g) + Curd (100g) + Lauki Sabzi (120g) [385 kcal, 14g P, 58g C, 8.5g F, ₹35]</t>
        </is>
      </c>
      <c r="P120" s="8" t="inlineStr">
        <is>
          <t>Optional Pre: 1 cup tender coconut water [45 kcal] • Post: 1 glass warm milk (150ml) [85 kcal, 5g P]</t>
        </is>
      </c>
      <c r="Q120" s="9" t="n">
        <v>1470</v>
      </c>
      <c r="R120" s="9" t="n">
        <v>82</v>
      </c>
      <c r="S120" s="9" t="n">
        <v>174</v>
      </c>
      <c r="T120" s="9" t="n">
        <v>47.5</v>
      </c>
      <c r="U120" s="9" t="n">
        <v>192</v>
      </c>
      <c r="V120" s="8" t="inlineStr">
        <is>
          <t>Mix ragi flour with equal water, pinch of salt, cumin seeds &amp; chopped onion. Pour on medium hot tawa. Cook vegetables in minimum oil with mustard seeds, curry leaves &amp; grated fresh coconut.</t>
        </is>
      </c>
    </row>
    <row r="121" ht="36" customHeight="1">
      <c r="A121" s="10" t="inlineStr">
        <is>
          <t>2027-02-20</t>
        </is>
      </c>
      <c r="B121" s="10" t="n">
        <v>120</v>
      </c>
      <c r="C121" s="10" t="inlineStr">
        <is>
          <t>Saturday</t>
        </is>
      </c>
      <c r="D121" s="11" t="inlineStr">
        <is>
          <t>High-Fiber Soya Chunks &amp; Comfort Idli Sambar</t>
        </is>
      </c>
      <c r="E121" s="11" t="inlineStr">
        <is>
          <t>Steamed Idlis (3 pcs, 110g) + Vegetable Sambar (150ml) + 2 Boiled Eggs [340 kcal, 19g P, 38g C, 12g F, ₹35]</t>
        </is>
      </c>
      <c r="F121" s="11" t="inlineStr">
        <is>
          <t>Vegetable Poha (160g cooked) + 1 Boiled Egg [310 kcal, 12g P, 44g C, 9g F, ₹26]</t>
        </is>
      </c>
      <c r="G121" s="11" t="inlineStr">
        <is>
          <t>Rolled Oats cooked in toned milk (40g + 180ml milk) with 1/2 apple [290 kcal, 12g P, 45g C, 6g F, ₹30]</t>
        </is>
      </c>
      <c r="H121" s="11" t="inlineStr">
        <is>
          <t>Spiced Buttermilk / Majjige (220ml) with curry leaves &amp; ginger [45 kcal, 3g P, 4g C, 1.5g F, ₹15] | Alt: Fresh Papaya slices (150g) + 5 almonds [110 kcal, 3g P, 22g C, 3g F, ₹28]</t>
        </is>
      </c>
      <c r="I121" s="11" t="inlineStr">
        <is>
          <t>Sona Masoori Rice (150g cooked) + Soya Chunks Curry (45g dry soya chunks cooked in onion-tomato gravy) + French Beans Palya (130g) + Rasam [460 kcal, 31g P, 56g C, 9g F, ₹42]</t>
        </is>
      </c>
      <c r="J121" s="11" t="inlineStr">
        <is>
          <t>2 Phulkas (80g) + Chicken Curry (95g meat) + Cabbage Poriyal (120g) [440 kcal, 31g P, 44g C, 13g F, ₹65]</t>
        </is>
      </c>
      <c r="K121" s="11" t="inlineStr">
        <is>
          <t>Rice (150g) + Thick Toor Dal (180g) + 2 Boiled Eggs + Ridge Gourd Palya (120g) [455 kcal, 24g P, 52g C, 14g F, ₹40]</t>
        </is>
      </c>
      <c r="L121" s="11" t="inlineStr">
        <is>
          <t>Roasted Kadale / Chana (30g) + Hot Elaichi Tea (100ml milk) [140 kcal, 6g P, 20g C, 3.5g F, ₹18] | Alt: Roasted Makhana (30g) in ghee &amp; rock salt [130 kcal, 3g P, 21g C, 3.5g F, ₹25]</t>
        </is>
      </c>
      <c r="M121" s="11" t="inlineStr">
        <is>
          <t>2 Soft Phulkas (75g) + 2 Boiled Eggs in Mild Curry + Cucumber Carrot Salad (120g) [415 kcal, 21g P, 42g C, 15g F, ₹38]</t>
        </is>
      </c>
      <c r="N121" s="11" t="inlineStr">
        <is>
          <t>2 Phulkas (75g) + Paneer Bhurji (90g paneer, capsicum, tomato) + Warm Soup [445 kcal, 20g P, 44g C, 19g F, ₹58]</t>
        </is>
      </c>
      <c r="O121" s="11" t="inlineStr">
        <is>
          <t>2 Ragi Rotis (120g) + Chicken Curry (90g meat) + Cucumber Slices [425 kcal, 30g P, 46g C, 11g F, ₹68]</t>
        </is>
      </c>
      <c r="P121" s="11" t="inlineStr">
        <is>
          <t>Optional Pre: 1 small banana [70 kcal] • Post: 1 glass warm milk [90 kcal, 6g P]</t>
        </is>
      </c>
      <c r="Q121" s="12" t="n">
        <v>1400</v>
      </c>
      <c r="R121" s="12" t="n">
        <v>80</v>
      </c>
      <c r="S121" s="12" t="n">
        <v>160</v>
      </c>
      <c r="T121" s="12" t="n">
        <v>41</v>
      </c>
      <c r="U121" s="12" t="n">
        <v>151</v>
      </c>
      <c r="V121" s="11" t="inlineStr">
        <is>
          <t>Dip idlis in piping hot sambar. Eggs provide complete amino acid profile. Soak soya chunks in warm water for 15 mins. Squeeze out bitter water completely before cooking.</t>
        </is>
      </c>
    </row>
    <row r="122" ht="36" customHeight="1">
      <c r="A122" s="7" t="inlineStr">
        <is>
          <t>2027-02-21</t>
        </is>
      </c>
      <c r="B122" s="7" t="n">
        <v>121</v>
      </c>
      <c r="C122" s="7" t="inlineStr">
        <is>
          <t>Sunday</t>
        </is>
      </c>
      <c r="D122" s="8" t="inlineStr">
        <is>
          <t>Comfort Steamed Staples &amp; Bengaluru Chicken Curry</t>
        </is>
      </c>
      <c r="E122" s="8" t="inlineStr">
        <is>
          <t>Steamed Idlis (3 pcs, 110g) + Veg Sambar (150ml) + 2 Boiled Eggs (100g) [340 kcal, 19g P, 38g C, 12g F, ₹35]</t>
        </is>
      </c>
      <c r="F122" s="8" t="inlineStr">
        <is>
          <t>Steamed Idlis (3 pcs) + Veg Sambar + 1 cup warm sprouted moong salad (100g) [310 kcal, 13g P, 46g C, 5g F, ₹25]</t>
        </is>
      </c>
      <c r="G122" s="8" t="inlineStr">
        <is>
          <t>Ragi Dosa (2 medium, 120g) + Mint Chutney (30g) + 1 Boiled Egg [320 kcal, 14g P, 42g C, 11g F, ₹28]</t>
        </is>
      </c>
      <c r="H122" s="8" t="inlineStr">
        <is>
          <t>Tender Coconut Water (220ml) + Handful Roasted Chana (25g) [130 kcal, 5g P, 22g C, 2g F, ₹40] | Alt: Fresh Papaya slices (150g) + 5 soaked almonds [110 kcal, 3g P, 22g C, 3g F, ₹30]</t>
        </is>
      </c>
      <c r="I122" s="8" t="inlineStr">
        <is>
          <t>Sona Masoori Rice (150g cooked / 55g raw) + Bengaluru Chicken Curry (130g raw / 95g cooked meat) + French Beans Palya (130g) + Pepper Rasam [475 kcal, 34g P, 48g C, 14g F, ₹75]</t>
        </is>
      </c>
      <c r="J122" s="8" t="inlineStr">
        <is>
          <t>2 Soft Wheat Phulkas (80g) + Homestyle Egg Curry (2 eggs in onion-tomato gravy) + Cabbage Poriyal (140g) [440 kcal, 21g P, 48g C, 16g F, ₹40]</t>
        </is>
      </c>
      <c r="K122" s="8" t="inlineStr">
        <is>
          <t>Sona Masoori Rice (150g) + Thick Toor Dal Tadka (180g) + Paneer Palya (80g paneer) + Fresh Curd (100g) [480 kcal, 23g P, 54g C, 18g F, ₹55]</t>
        </is>
      </c>
      <c r="L122" s="8" t="inlineStr">
        <is>
          <t>Spiced Boiled Sundal / Chickpeas (80g) with mustard tempering &amp; lemon [140 kcal, 7g P, 22g C, 3g F, ₹20] | Alt: Roasted Makhana (30g) in 1/2 tsp ghee &amp; rock salt [130 kcal, 3g P, 21g C, 3.5g F, ₹25]</t>
        </is>
      </c>
      <c r="M122" s="8" t="inlineStr">
        <is>
          <t>2 Soft Whole Wheat Phulkas (75g) + Grilled/Pan Chicken Curry (100g meat) + Cucumber Tomato Salad (120g) [420 kcal, 31g P, 42g C, 12g F, ₹65]</t>
        </is>
      </c>
      <c r="N122" s="8" t="inlineStr">
        <is>
          <t>2 Phulkas (75g) + Fresh Paneer Bhurji (90g paneer with capsicum &amp; onion) + Tomato Clear Soup [440 kcal, 20g P, 42g C, 20g F, ₹55]</t>
        </is>
      </c>
      <c r="O122" s="8" t="inlineStr">
        <is>
          <t>Warm Rice-Moong Dal Khichdi (220g) + Fresh Curd (100g) + Steamed Beetroot Poriyal (100g) [380 kcal, 14g P, 58g C, 8g F, ₹35]</t>
        </is>
      </c>
      <c r="P122" s="8" t="inlineStr">
        <is>
          <t>Optional Pre: 1 small banana (80g) [70 kcal] • Post: 1 glass warm toned milk with turmeric (180ml) [95 kcal, 6g P]</t>
        </is>
      </c>
      <c r="Q122" s="9" t="n">
        <v>1505</v>
      </c>
      <c r="R122" s="9" t="n">
        <v>96</v>
      </c>
      <c r="S122" s="9" t="n">
        <v>172</v>
      </c>
      <c r="T122" s="9" t="n">
        <v>43</v>
      </c>
      <c r="U122" s="9" t="n">
        <v>235</v>
      </c>
      <c r="V122" s="8" t="inlineStr">
        <is>
          <t>Steam idlis in idli cooker for 10-12 mins. Weigh 110g cooked on kitchen scale. Zero plate on scale, measure 150g warm rice, then add 95g cooked chicken meat without bones.</t>
        </is>
      </c>
    </row>
    <row r="123" ht="36" customHeight="1">
      <c r="A123" s="10" t="inlineStr">
        <is>
          <t>2027-02-22</t>
        </is>
      </c>
      <c r="B123" s="10" t="n">
        <v>122</v>
      </c>
      <c r="C123" s="10" t="inlineStr">
        <is>
          <t>Monday</t>
        </is>
      </c>
      <c r="D123" s="11" t="inlineStr">
        <is>
          <t>Iron-Rich Poha, Egg Curry &amp; Golden Turmeric Phulkas</t>
        </is>
      </c>
      <c r="E123" s="11" t="inlineStr">
        <is>
          <t>Vegetable Poha (160g cooked) tempered with mustard &amp; roasted peanuts (15g) + 1 Boiled Egg [330 kcal, 13g P, 44g C, 11g F, ₹28]</t>
        </is>
      </c>
      <c r="F123" s="11" t="inlineStr">
        <is>
          <t>Vegetable Poha (180g) + 1 glass warm toned milk (150ml) [310 kcal, 11g P, 48g C, 8g F, ₹24]</t>
        </is>
      </c>
      <c r="G123" s="11" t="inlineStr">
        <is>
          <t>Rolled Oats cooked in milk (40g oats + 180ml toned milk) with half diced apple [290 kcal, 12g P, 45g C, 6g F, ₹30]</t>
        </is>
      </c>
      <c r="H123" s="11" t="inlineStr">
        <is>
          <t>Spiced Majjige / Buttermilk (220ml) with grated ginger &amp; curry leaves [45 kcal, 3g P, 4g C, 1.5g F, ₹15] | Alt: 1 Crisp Guava or Apple (130g) with pinch of rock salt [75 kcal, 1.5g P, 18g C, 0.5g F, ₹20]</t>
        </is>
      </c>
      <c r="I123" s="11" t="inlineStr">
        <is>
          <t>2 Soft Phulkas (80g) + 2 Boiled Eggs in Onion-Tomato Gravy (120g gravy) + Ridge Gourd (Heerekayi) Palya (140g) [450 kcal, 22g P, 48g C, 17g F, ₹45]</t>
        </is>
      </c>
      <c r="J123" s="11" t="inlineStr">
        <is>
          <t>Sona Masoori Rice (150g) + Fish Curry (120g rohu/pomfret in light coconut gravy) + Beans Poriyal (120g) [460 kcal, 32g P, 46g C, 13g F, ₹80]</t>
        </is>
      </c>
      <c r="K123" s="11" t="inlineStr">
        <is>
          <t>Cooked Rice (150g) + Mixed Vegetable Sambar (180g) + Pan-seared Tofu or Paneer (80g) + Cucumber Slices [465 kcal, 21g P, 52g C, 17g F, ₹55]</t>
        </is>
      </c>
      <c r="L123" s="11" t="inlineStr">
        <is>
          <t>Boiled Sweet Corn (120g) with lemon squeeze &amp; chaat masala [120 kcal, 4g P, 24g C, 1.5g F, ₹20] | Alt: Roasted Kadale / Chana (30g) + Warm Elaichi Green Tea [125 kcal, 6g P, 18g C, 2.5g F, ₹15]</t>
        </is>
      </c>
      <c r="M123" s="11" t="inlineStr">
        <is>
          <t>2 Soft Phulkas (75g) + Fresh Paneer Bhurji (90g paneer, capsicum, tomato) + Warm Tomato Rasam (150ml) [445 kcal, 21g P, 44g C, 19g F, ₹60]</t>
        </is>
      </c>
      <c r="N123" s="11" t="inlineStr">
        <is>
          <t>2 Ragi Rotis (130g) + Chicken Curry (90g cooked meat) + Onion Cucumber Raita (80g) [430 kcal, 30g P, 46g C, 11g F, ₹70]</t>
        </is>
      </c>
      <c r="O123" s="11" t="inlineStr">
        <is>
          <t>Moong Dal Vegetable Dalia Khichdi (220g) + Fresh Curd (100g) [390 kcal, 16g P, 54g C, 9g F, ₹35]</t>
        </is>
      </c>
      <c r="P123" s="11" t="inlineStr">
        <is>
          <t>Optional Pre: 2 Medjool dates [80 kcal] • Post: 1 boiled egg white or 100g warm milk [55 kcal, 4g P]</t>
        </is>
      </c>
      <c r="Q123" s="12" t="n">
        <v>1390</v>
      </c>
      <c r="R123" s="12" t="n">
        <v>63</v>
      </c>
      <c r="S123" s="12" t="n">
        <v>164</v>
      </c>
      <c r="T123" s="12" t="n">
        <v>50</v>
      </c>
      <c r="U123" s="12" t="n">
        <v>168</v>
      </c>
      <c r="V123" s="11" t="inlineStr">
        <is>
          <t>Rinse thick poha in colander, drain well. Sauté with onion, curry leaves, carrots &amp; roasted peanuts. Prick boiled eggs gently before simmering in gravy to absorb rich flavours.</t>
        </is>
      </c>
    </row>
    <row r="124" ht="36" customHeight="1">
      <c r="A124" s="7" t="inlineStr">
        <is>
          <t>2027-02-23</t>
        </is>
      </c>
      <c r="B124" s="7" t="n">
        <v>123</v>
      </c>
      <c r="C124" s="7" t="inlineStr">
        <is>
          <t>Tuesday</t>
        </is>
      </c>
      <c r="D124" s="8" t="inlineStr">
        <is>
          <t>Bengaluru Rava Upma &amp; Fresh Coastal Home Curry</t>
        </is>
      </c>
      <c r="E124" s="8" t="inlineStr">
        <is>
          <t>Bengaluru Vegetable Rava Upma (180g cooked) with roasted peanuts + 1 Boiled Egg [340 kcal, 14g P, 44g C, 12g F, ₹26]</t>
        </is>
      </c>
      <c r="F124" s="8" t="inlineStr">
        <is>
          <t>Vegetable Upma (180g) + 1 glass warm toned milk (150ml) [320 kcal, 11g P, 48g C, 9g F, ₹24]</t>
        </is>
      </c>
      <c r="G124" s="8" t="inlineStr">
        <is>
          <t>Steamed Idlis (3 pcs) with Mint Toor Dal Chutney (40g) + 1 Boiled Egg [320 kcal, 15g P, 42g C, 9g F, ₹28]</t>
        </is>
      </c>
      <c r="H124" s="8" t="inlineStr">
        <is>
          <t>Fresh Fruit Bowl (150g watermelon or papaya) + 6 soaked almonds [110 kcal, 3g P, 22g C, 3g F, ₹30] | Alt: Tender Coconut Water (220ml) [45 kcal, 1g P, 10g C, 0g F, ₹35]</t>
        </is>
      </c>
      <c r="I124" s="8" t="inlineStr">
        <is>
          <t>Sona Masoori Rice (150g cooked) + Bengaluru Fish Curry (120g fresh fish in light gravy) + Cabbage &amp; Pea Poriyal (130g) + Rasam [450 kcal, 33g P, 46g C, 13g F, ₹80]</t>
        </is>
      </c>
      <c r="J124" s="8" t="inlineStr">
        <is>
          <t>2 Phulkas (80g) + Chicken Curry (95g cooked meat) + Cucumber Carrot Salad (100g) [440 kcal, 31g P, 44g C, 13g F, ₹65]</t>
        </is>
      </c>
      <c r="K124" s="8" t="inlineStr">
        <is>
          <t>Rice (150g) + Thick Chana Dal (180g) + Beans Palya (130g) + Fresh Curd (100g) [470 kcal, 22g P, 56g C, 15g F, ₹45]</t>
        </is>
      </c>
      <c r="L124" s="8" t="inlineStr">
        <is>
          <t>Roasted Puri Kadale / Chana (30g) + Warm Ginger Tea (100ml low-fat milk) [140 kcal, 6g P, 20g C, 3.5g F, ₹18] | Alt: Spiced Boiled Moong Sprouts (80g) with lime &amp; salt [110 kcal, 7g P, 18g C, 1g F, ₹15]</t>
        </is>
      </c>
      <c r="M124" s="8" t="inlineStr">
        <is>
          <t>2 Soft Phulkas (75g) + Soya Chunks &amp; Green Pea Curry (45g dry soya + 50g peas) + Fresh Curd (80g) [420 kcal, 29g P, 48g C, 9g F, ₹40]</t>
        </is>
      </c>
      <c r="N124" s="8" t="inlineStr">
        <is>
          <t>2 Phulkas (75g) + 2 Boiled Eggs in Homestyle Curry (100g) + Sliced Cucumber [410 kcal, 21g P, 42g C, 15g F, ₹38]</t>
        </is>
      </c>
      <c r="O124" s="8" t="inlineStr">
        <is>
          <t>2 Ragi Rotis (120g) + Mixed Vegetable Sambar (180ml) + Sautéed Palak (100g) [380 kcal, 14g P, 54g C, 8g F, ₹30]</t>
        </is>
      </c>
      <c r="P124" s="8" t="inlineStr">
        <is>
          <t>Optional Pre: 1 cup tender coconut water [45 kcal] • Post: 1 glass warm milk (150ml) [85 kcal, 5g P]</t>
        </is>
      </c>
      <c r="Q124" s="9" t="n">
        <v>1460</v>
      </c>
      <c r="R124" s="9" t="n">
        <v>85</v>
      </c>
      <c r="S124" s="9" t="n">
        <v>180</v>
      </c>
      <c r="T124" s="9" t="n">
        <v>40.5</v>
      </c>
      <c r="U124" s="9" t="n">
        <v>194</v>
      </c>
      <c r="V124" s="8" t="inlineStr">
        <is>
          <t>Dry roast semolina lightly. Tempered with mustard seeds, chana dal, green chillies &amp; mixed veggies. Use fresh local fish cuts (rohu, pomfret, or seer fish). Simmer gently for 8 mins.</t>
        </is>
      </c>
    </row>
    <row r="125" ht="36" customHeight="1">
      <c r="A125" s="10" t="inlineStr">
        <is>
          <t>2027-02-24</t>
        </is>
      </c>
      <c r="B125" s="10" t="n">
        <v>124</v>
      </c>
      <c r="C125" s="10" t="inlineStr">
        <is>
          <t>Wednesday</t>
        </is>
      </c>
      <c r="D125" s="11" t="inlineStr">
        <is>
          <t>Nourishing Rolled Oats &amp; Tender Chicken Palya</t>
        </is>
      </c>
      <c r="E125" s="11" t="inlineStr">
        <is>
          <t>Warm Rolled Oats (40g dry + 180ml toned milk) + 1 Boiled Egg + Apple slices (50g) [345 kcal, 18g P, 46g C, 10g F, ₹35]</t>
        </is>
      </c>
      <c r="F125" s="11" t="inlineStr">
        <is>
          <t>Vegetable Poha (160g cooked) + 2 Boiled Eggs [360 kcal, 18g P, 42g C, 14g F, ₹32]</t>
        </is>
      </c>
      <c r="G125" s="11" t="inlineStr">
        <is>
          <t>2 Plain Dosas (120g) + Toor Dal Sambar (150ml) + 1 cup warm sprouted moong [330 kcal, 14g P, 48g C, 7g F, ₹25]</t>
        </is>
      </c>
      <c r="H125" s="11" t="inlineStr">
        <is>
          <t>Tender Coconut Water (220ml) + 5 Soaked Almonds [95 kcal, 3g P, 12g C, 4g F, ₹40] | Alt: Fresh Spiced Buttermilk (220ml) with coriander &amp; rock salt [45 kcal, 3g P, 4g C, 1.5g F, ₹15]</t>
        </is>
      </c>
      <c r="I125" s="11" t="inlineStr">
        <is>
          <t>Sona Masoori Rice (150g cooked) + Tender Chicken Curry (130g raw / 95g meat) + Palak (Spinach) Palya (140g) + Rasam [470 kcal, 35g P, 46g C, 13g F, ₹75]</t>
        </is>
      </c>
      <c r="J125" s="11" t="inlineStr">
        <is>
          <t>2 Soft Phulkas (80g) + Fresh Paneer Curry (85g paneer in light gravy) + French Beans Palya (120g) [450 kcal, 21g P, 44g C, 19g F, ₹55]</t>
        </is>
      </c>
      <c r="K125" s="11" t="inlineStr">
        <is>
          <t>Rice (150g) + Toor Dal Tadka (180g) + 2 Boiled Eggs + Beetroot Poriyal (120g) [460 kcal, 25g P, 52g C, 14g F, ₹42]</t>
        </is>
      </c>
      <c r="L125" s="11" t="inlineStr">
        <is>
          <t>Roasted Makhana (30g) + Hot Green Tea with lemon [130 kcal, 3g P, 21g C, 3.5g F, ₹25] | Alt: Boiled Chickpeas Sundal (70g) with mustard &amp; curry leaves [125 kcal, 6g P, 20g C, 2.5g F, ₹18]</t>
        </is>
      </c>
      <c r="M125" s="11" t="inlineStr">
        <is>
          <t>2 Soft Phulkas (75g) + 2 Boiled Eggs in Tomato Onion Curry + Cucumber Salad (100g) [415 kcal, 21g P, 42g C, 15g F, ₹38]</t>
        </is>
      </c>
      <c r="N125" s="11" t="inlineStr">
        <is>
          <t>2 Phulkas (75g) + Grilled Chicken Strips (100g cooked) + Mixed Sautéed Capsicum &amp; Onions [425 kcal, 32g P, 40g C, 11g F, ₹65]</t>
        </is>
      </c>
      <c r="O125" s="11" t="inlineStr">
        <is>
          <t>Warm Moong Dal Vegetable Khichdi (220g) + Fresh Curd (100g) [380 kcal, 15g P, 56g C, 8g F, ₹35]</t>
        </is>
      </c>
      <c r="P125" s="11" t="inlineStr">
        <is>
          <t>Optional Pre: 1 small banana [70 kcal] • Post: 1 cup warm turmeric milk [90 kcal, 6g P]</t>
        </is>
      </c>
      <c r="Q125" s="12" t="n">
        <v>1455</v>
      </c>
      <c r="R125" s="12" t="n">
        <v>80</v>
      </c>
      <c r="S125" s="12" t="n">
        <v>167</v>
      </c>
      <c r="T125" s="12" t="n">
        <v>45.5</v>
      </c>
      <c r="U125" s="12" t="n">
        <v>213</v>
      </c>
      <c r="V125" s="11" t="inlineStr">
        <is>
          <t>Cook oats in milk for 4 mins on medium flame. Stir in pinch of cinnamon powder. Weigh raw boneless chicken (130g). Steam spinach lightly with mustard tempering.</t>
        </is>
      </c>
    </row>
    <row r="126" ht="36" customHeight="1">
      <c r="A126" s="7" t="inlineStr">
        <is>
          <t>2027-02-25</t>
        </is>
      </c>
      <c r="B126" s="7" t="n">
        <v>125</v>
      </c>
      <c r="C126" s="7" t="inlineStr">
        <is>
          <t>Thursday</t>
        </is>
      </c>
      <c r="D126" s="8" t="inlineStr">
        <is>
          <t>Calcium-Rich Ragi Dosa &amp; Fresh Country Egg Feast</t>
        </is>
      </c>
      <c r="E126" s="8" t="inlineStr">
        <is>
          <t>Ragi Dosa (2 medium, 120g) + Coconut Mint Chutney (30g) + 2 Boiled Eggs [350 kcal, 19g P, 40g C, 13g F, ₹35]</t>
        </is>
      </c>
      <c r="F126" s="8" t="inlineStr">
        <is>
          <t>Steamed Idlis (3 pcs, 110g) + Vegetable Sambar (150ml) + 1 Boiled Egg [310 kcal, 13g P, 44g C, 8g F, ₹25]</t>
        </is>
      </c>
      <c r="G126" s="8" t="inlineStr">
        <is>
          <t>Vegetable Upma (180g) + Warm Toned Milk (150ml) [320 kcal, 11g P, 48g C, 9g F, ₹22]</t>
        </is>
      </c>
      <c r="H126" s="8" t="inlineStr">
        <is>
          <t>Fresh Seasonal Fruit (1 Medium Apple or 150g Papaya) + 6 Almonds [115 kcal, 3g P, 22g C, 3.5g F, ₹30] | Alt: Tender Coconut Water (220ml) [45 kcal, 1g P, 10g C, 0g F, ₹35]</t>
        </is>
      </c>
      <c r="I126" s="8" t="inlineStr">
        <is>
          <t>2 Soft Phulkas (80g) + Homestyle Egg Curry (2 eggs) + Cabbage &amp; Carrot Poriyal (140g) + Rasam [445 kcal, 22g P, 48g C, 16g F, ₹42]</t>
        </is>
      </c>
      <c r="J126" s="8" t="inlineStr">
        <is>
          <t>Sona Masoori Rice (150g) + Bengaluru Chicken Curry (95g meat) + Beans Palya (120g) [475 kcal, 34g P, 48g C, 14g F, ₹75]</t>
        </is>
      </c>
      <c r="K126" s="8" t="inlineStr">
        <is>
          <t>Rice (150g) + Thick Toor Dal Tadka (180g) + Fresh Curd (100g) + Tomato Cucumber Salad [440 kcal, 18g P, 56g C, 14g F, ₹40]</t>
        </is>
      </c>
      <c r="L126" s="8" t="inlineStr">
        <is>
          <t>Spiced Boiled Sundal / Chickpeas (80g) with lime [140 kcal, 7g P, 22g C, 3g F, ₹20] | Alt: Roasted Makhana (30g) in 1/2 tsp ghee &amp; rock salt [130 kcal, 3g P, 21g C, 3.5g F, ₹25]</t>
        </is>
      </c>
      <c r="M126" s="8" t="inlineStr">
        <is>
          <t>2 Soft Phulkas (75g) + Home Chicken Curry (100g meat) + Cucumber Salad (100g) [420 kcal, 31g P, 42g C, 12g F, ₹65]</t>
        </is>
      </c>
      <c r="N126" s="8" t="inlineStr">
        <is>
          <t>2 Phulkas (75g) + Fresh Paneer Bhurji (90g paneer, capsicum, onion) + Clear Soup [440 kcal, 20g P, 42g C, 20g F, ₹55]</t>
        </is>
      </c>
      <c r="O126" s="8" t="inlineStr">
        <is>
          <t>Rice-Moong Dal Khichdi (220g) + Curd (100g) + Lauki Sabzi (120g) [385 kcal, 14g P, 58g C, 8.5g F, ₹35]</t>
        </is>
      </c>
      <c r="P126" s="8" t="inlineStr">
        <is>
          <t>Optional Pre: 1 cup tender coconut water [45 kcal] • Post: 1 glass warm milk (150ml) [85 kcal, 5g P]</t>
        </is>
      </c>
      <c r="Q126" s="9" t="n">
        <v>1470</v>
      </c>
      <c r="R126" s="9" t="n">
        <v>82</v>
      </c>
      <c r="S126" s="9" t="n">
        <v>174</v>
      </c>
      <c r="T126" s="9" t="n">
        <v>47.5</v>
      </c>
      <c r="U126" s="9" t="n">
        <v>192</v>
      </c>
      <c r="V126" s="8" t="inlineStr">
        <is>
          <t>Mix ragi flour with equal water, pinch of salt, cumin seeds &amp; chopped onion. Pour on medium hot tawa. Cook vegetables in minimum oil with mustard seeds, curry leaves &amp; grated fresh coconut.</t>
        </is>
      </c>
    </row>
    <row r="127" ht="36" customHeight="1">
      <c r="A127" s="10" t="inlineStr">
        <is>
          <t>2027-02-26</t>
        </is>
      </c>
      <c r="B127" s="10" t="n">
        <v>126</v>
      </c>
      <c r="C127" s="10" t="inlineStr">
        <is>
          <t>Friday</t>
        </is>
      </c>
      <c r="D127" s="11" t="inlineStr">
        <is>
          <t>High-Fiber Soya Chunks &amp; Comfort Idli Sambar</t>
        </is>
      </c>
      <c r="E127" s="11" t="inlineStr">
        <is>
          <t>Steamed Idlis (3 pcs, 110g) + Vegetable Sambar (150ml) + 2 Boiled Eggs [340 kcal, 19g P, 38g C, 12g F, ₹35]</t>
        </is>
      </c>
      <c r="F127" s="11" t="inlineStr">
        <is>
          <t>Vegetable Poha (160g cooked) + 1 Boiled Egg [310 kcal, 12g P, 44g C, 9g F, ₹26]</t>
        </is>
      </c>
      <c r="G127" s="11" t="inlineStr">
        <is>
          <t>Rolled Oats cooked in toned milk (40g + 180ml milk) with 1/2 apple [290 kcal, 12g P, 45g C, 6g F, ₹30]</t>
        </is>
      </c>
      <c r="H127" s="11" t="inlineStr">
        <is>
          <t>Spiced Buttermilk / Majjige (220ml) with curry leaves &amp; ginger [45 kcal, 3g P, 4g C, 1.5g F, ₹15] | Alt: Fresh Papaya slices (150g) + 5 almonds [110 kcal, 3g P, 22g C, 3g F, ₹28]</t>
        </is>
      </c>
      <c r="I127" s="11" t="inlineStr">
        <is>
          <t>Sona Masoori Rice (150g cooked) + Soya Chunks Curry (45g dry soya chunks cooked in onion-tomato gravy) + French Beans Palya (130g) + Rasam [460 kcal, 31g P, 56g C, 9g F, ₹42]</t>
        </is>
      </c>
      <c r="J127" s="11" t="inlineStr">
        <is>
          <t>2 Phulkas (80g) + Chicken Curry (95g meat) + Cabbage Poriyal (120g) [440 kcal, 31g P, 44g C, 13g F, ₹65]</t>
        </is>
      </c>
      <c r="K127" s="11" t="inlineStr">
        <is>
          <t>Rice (150g) + Thick Toor Dal (180g) + 2 Boiled Eggs + Ridge Gourd Palya (120g) [455 kcal, 24g P, 52g C, 14g F, ₹40]</t>
        </is>
      </c>
      <c r="L127" s="11" t="inlineStr">
        <is>
          <t>Roasted Kadale / Chana (30g) + Hot Elaichi Tea (100ml milk) [140 kcal, 6g P, 20g C, 3.5g F, ₹18] | Alt: Roasted Makhana (30g) in ghee &amp; rock salt [130 kcal, 3g P, 21g C, 3.5g F, ₹25]</t>
        </is>
      </c>
      <c r="M127" s="11" t="inlineStr">
        <is>
          <t>2 Soft Phulkas (75g) + 2 Boiled Eggs in Mild Curry + Cucumber Carrot Salad (120g) [415 kcal, 21g P, 42g C, 15g F, ₹38]</t>
        </is>
      </c>
      <c r="N127" s="11" t="inlineStr">
        <is>
          <t>2 Phulkas (75g) + Paneer Bhurji (90g paneer, capsicum, tomato) + Warm Soup [445 kcal, 20g P, 44g C, 19g F, ₹58]</t>
        </is>
      </c>
      <c r="O127" s="11" t="inlineStr">
        <is>
          <t>2 Ragi Rotis (120g) + Chicken Curry (90g meat) + Cucumber Slices [425 kcal, 30g P, 46g C, 11g F, ₹68]</t>
        </is>
      </c>
      <c r="P127" s="11" t="inlineStr">
        <is>
          <t>Optional Pre: 1 small banana [70 kcal] • Post: 1 glass warm milk [90 kcal, 6g P]</t>
        </is>
      </c>
      <c r="Q127" s="12" t="n">
        <v>1400</v>
      </c>
      <c r="R127" s="12" t="n">
        <v>80</v>
      </c>
      <c r="S127" s="12" t="n">
        <v>160</v>
      </c>
      <c r="T127" s="12" t="n">
        <v>41</v>
      </c>
      <c r="U127" s="12" t="n">
        <v>151</v>
      </c>
      <c r="V127" s="11" t="inlineStr">
        <is>
          <t>Dip idlis in piping hot sambar. Eggs provide complete amino acid profile. Soak soya chunks in warm water for 15 mins. Squeeze out bitter water completely before cooking.</t>
        </is>
      </c>
    </row>
    <row r="128" ht="36" customHeight="1">
      <c r="A128" s="7" t="inlineStr">
        <is>
          <t>2027-02-27</t>
        </is>
      </c>
      <c r="B128" s="7" t="n">
        <v>127</v>
      </c>
      <c r="C128" s="7" t="inlineStr">
        <is>
          <t>Saturday</t>
        </is>
      </c>
      <c r="D128" s="8" t="inlineStr">
        <is>
          <t>Comfort Steamed Staples &amp; Bengaluru Chicken Curry</t>
        </is>
      </c>
      <c r="E128" s="8" t="inlineStr">
        <is>
          <t>Steamed Idlis (3 pcs, 110g) + Veg Sambar (150ml) + 2 Boiled Eggs (100g) [340 kcal, 19g P, 38g C, 12g F, ₹35]</t>
        </is>
      </c>
      <c r="F128" s="8" t="inlineStr">
        <is>
          <t>Steamed Idlis (3 pcs) + Veg Sambar + 1 cup warm sprouted moong salad (100g) [310 kcal, 13g P, 46g C, 5g F, ₹25]</t>
        </is>
      </c>
      <c r="G128" s="8" t="inlineStr">
        <is>
          <t>Ragi Dosa (2 medium, 120g) + Mint Chutney (30g) + 1 Boiled Egg [320 kcal, 14g P, 42g C, 11g F, ₹28]</t>
        </is>
      </c>
      <c r="H128" s="8" t="inlineStr">
        <is>
          <t>Tender Coconut Water (220ml) + Handful Roasted Chana (25g) [130 kcal, 5g P, 22g C, 2g F, ₹40] | Alt: Fresh Papaya slices (150g) + 5 soaked almonds [110 kcal, 3g P, 22g C, 3g F, ₹30]</t>
        </is>
      </c>
      <c r="I128" s="8" t="inlineStr">
        <is>
          <t>Sona Masoori Rice (150g cooked / 55g raw) + Bengaluru Chicken Curry (130g raw / 95g cooked meat) + French Beans Palya (130g) + Pepper Rasam [475 kcal, 34g P, 48g C, 14g F, ₹75]</t>
        </is>
      </c>
      <c r="J128" s="8" t="inlineStr">
        <is>
          <t>2 Soft Wheat Phulkas (80g) + Homestyle Egg Curry (2 eggs in onion-tomato gravy) + Cabbage Poriyal (140g) [440 kcal, 21g P, 48g C, 16g F, ₹40]</t>
        </is>
      </c>
      <c r="K128" s="8" t="inlineStr">
        <is>
          <t>Sona Masoori Rice (150g) + Thick Toor Dal Tadka (180g) + Paneer Palya (80g paneer) + Fresh Curd (100g) [480 kcal, 23g P, 54g C, 18g F, ₹55]</t>
        </is>
      </c>
      <c r="L128" s="8" t="inlineStr">
        <is>
          <t>Spiced Boiled Sundal / Chickpeas (80g) with mustard tempering &amp; lemon [140 kcal, 7g P, 22g C, 3g F, ₹20] | Alt: Roasted Makhana (30g) in 1/2 tsp ghee &amp; rock salt [130 kcal, 3g P, 21g C, 3.5g F, ₹25]</t>
        </is>
      </c>
      <c r="M128" s="8" t="inlineStr">
        <is>
          <t>2 Soft Whole Wheat Phulkas (75g) + Grilled/Pan Chicken Curry (100g meat) + Cucumber Tomato Salad (120g) [420 kcal, 31g P, 42g C, 12g F, ₹65]</t>
        </is>
      </c>
      <c r="N128" s="8" t="inlineStr">
        <is>
          <t>2 Phulkas (75g) + Fresh Paneer Bhurji (90g paneer with capsicum &amp; onion) + Tomato Clear Soup [440 kcal, 20g P, 42g C, 20g F, ₹55]</t>
        </is>
      </c>
      <c r="O128" s="8" t="inlineStr">
        <is>
          <t>Warm Rice-Moong Dal Khichdi (220g) + Fresh Curd (100g) + Steamed Beetroot Poriyal (100g) [380 kcal, 14g P, 58g C, 8g F, ₹35]</t>
        </is>
      </c>
      <c r="P128" s="8" t="inlineStr">
        <is>
          <t>Optional Pre: 1 small banana (80g) [70 kcal] • Post: 1 glass warm toned milk with turmeric (180ml) [95 kcal, 6g P]</t>
        </is>
      </c>
      <c r="Q128" s="9" t="n">
        <v>1505</v>
      </c>
      <c r="R128" s="9" t="n">
        <v>96</v>
      </c>
      <c r="S128" s="9" t="n">
        <v>172</v>
      </c>
      <c r="T128" s="9" t="n">
        <v>43</v>
      </c>
      <c r="U128" s="9" t="n">
        <v>235</v>
      </c>
      <c r="V128" s="8" t="inlineStr">
        <is>
          <t>Steam idlis in idli cooker for 10-12 mins. Weigh 110g cooked on kitchen scale. Zero plate on scale, measure 150g warm rice, then add 95g cooked chicken meat without bones.</t>
        </is>
      </c>
    </row>
    <row r="129" ht="36" customHeight="1">
      <c r="A129" s="10" t="inlineStr">
        <is>
          <t>2027-02-28</t>
        </is>
      </c>
      <c r="B129" s="10" t="n">
        <v>128</v>
      </c>
      <c r="C129" s="10" t="inlineStr">
        <is>
          <t>Sunday</t>
        </is>
      </c>
      <c r="D129" s="11" t="inlineStr">
        <is>
          <t>Iron-Rich Poha, Egg Curry &amp; Golden Turmeric Phulkas</t>
        </is>
      </c>
      <c r="E129" s="11" t="inlineStr">
        <is>
          <t>Vegetable Poha (160g cooked) tempered with mustard &amp; roasted peanuts (15g) + 1 Boiled Egg [330 kcal, 13g P, 44g C, 11g F, ₹28]</t>
        </is>
      </c>
      <c r="F129" s="11" t="inlineStr">
        <is>
          <t>Vegetable Poha (180g) + 1 glass warm toned milk (150ml) [310 kcal, 11g P, 48g C, 8g F, ₹24]</t>
        </is>
      </c>
      <c r="G129" s="11" t="inlineStr">
        <is>
          <t>Rolled Oats cooked in milk (40g oats + 180ml toned milk) with half diced apple [290 kcal, 12g P, 45g C, 6g F, ₹30]</t>
        </is>
      </c>
      <c r="H129" s="11" t="inlineStr">
        <is>
          <t>Spiced Majjige / Buttermilk (220ml) with grated ginger &amp; curry leaves [45 kcal, 3g P, 4g C, 1.5g F, ₹15] | Alt: 1 Crisp Guava or Apple (130g) with pinch of rock salt [75 kcal, 1.5g P, 18g C, 0.5g F, ₹20]</t>
        </is>
      </c>
      <c r="I129" s="11" t="inlineStr">
        <is>
          <t>2 Soft Phulkas (80g) + 2 Boiled Eggs in Onion-Tomato Gravy (120g gravy) + Ridge Gourd (Heerekayi) Palya (140g) [450 kcal, 22g P, 48g C, 17g F, ₹45]</t>
        </is>
      </c>
      <c r="J129" s="11" t="inlineStr">
        <is>
          <t>Sona Masoori Rice (150g) + Fish Curry (120g rohu/pomfret in light coconut gravy) + Beans Poriyal (120g) [460 kcal, 32g P, 46g C, 13g F, ₹80]</t>
        </is>
      </c>
      <c r="K129" s="11" t="inlineStr">
        <is>
          <t>Cooked Rice (150g) + Mixed Vegetable Sambar (180g) + Pan-seared Tofu or Paneer (80g) + Cucumber Slices [465 kcal, 21g P, 52g C, 17g F, ₹55]</t>
        </is>
      </c>
      <c r="L129" s="11" t="inlineStr">
        <is>
          <t>Boiled Sweet Corn (120g) with lemon squeeze &amp; chaat masala [120 kcal, 4g P, 24g C, 1.5g F, ₹20] | Alt: Roasted Kadale / Chana (30g) + Warm Elaichi Green Tea [125 kcal, 6g P, 18g C, 2.5g F, ₹15]</t>
        </is>
      </c>
      <c r="M129" s="11" t="inlineStr">
        <is>
          <t>2 Soft Phulkas (75g) + Fresh Paneer Bhurji (90g paneer, capsicum, tomato) + Warm Tomato Rasam (150ml) [445 kcal, 21g P, 44g C, 19g F, ₹60]</t>
        </is>
      </c>
      <c r="N129" s="11" t="inlineStr">
        <is>
          <t>2 Ragi Rotis (130g) + Chicken Curry (90g cooked meat) + Onion Cucumber Raita (80g) [430 kcal, 30g P, 46g C, 11g F, ₹70]</t>
        </is>
      </c>
      <c r="O129" s="11" t="inlineStr">
        <is>
          <t>Moong Dal Vegetable Dalia Khichdi (220g) + Fresh Curd (100g) [390 kcal, 16g P, 54g C, 9g F, ₹35]</t>
        </is>
      </c>
      <c r="P129" s="11" t="inlineStr">
        <is>
          <t>Optional Pre: 2 Medjool dates [80 kcal] • Post: 1 boiled egg white or 100g warm milk [55 kcal, 4g P]</t>
        </is>
      </c>
      <c r="Q129" s="12" t="n">
        <v>1390</v>
      </c>
      <c r="R129" s="12" t="n">
        <v>63</v>
      </c>
      <c r="S129" s="12" t="n">
        <v>164</v>
      </c>
      <c r="T129" s="12" t="n">
        <v>50</v>
      </c>
      <c r="U129" s="12" t="n">
        <v>168</v>
      </c>
      <c r="V129" s="11" t="inlineStr">
        <is>
          <t>Rinse thick poha in colander, drain well. Sauté with onion, curry leaves, carrots &amp; roasted peanuts. Prick boiled eggs gently before simmering in gravy to absorb rich flavours.</t>
        </is>
      </c>
    </row>
    <row r="130" ht="36" customHeight="1">
      <c r="A130" s="7" t="inlineStr">
        <is>
          <t>2027-03-01</t>
        </is>
      </c>
      <c r="B130" s="7" t="n">
        <v>129</v>
      </c>
      <c r="C130" s="7" t="inlineStr">
        <is>
          <t>Monday</t>
        </is>
      </c>
      <c r="D130" s="8" t="inlineStr">
        <is>
          <t>Bengaluru Rava Upma &amp; Fresh Coastal Home Curry</t>
        </is>
      </c>
      <c r="E130" s="8" t="inlineStr">
        <is>
          <t>Bengaluru Vegetable Rava Upma (180g cooked) with roasted peanuts + 1 Boiled Egg [340 kcal, 14g P, 44g C, 12g F, ₹26]</t>
        </is>
      </c>
      <c r="F130" s="8" t="inlineStr">
        <is>
          <t>Vegetable Upma (180g) + 1 glass warm toned milk (150ml) [320 kcal, 11g P, 48g C, 9g F, ₹24]</t>
        </is>
      </c>
      <c r="G130" s="8" t="inlineStr">
        <is>
          <t>Steamed Idlis (3 pcs) with Mint Toor Dal Chutney (40g) + 1 Boiled Egg [320 kcal, 15g P, 42g C, 9g F, ₹28]</t>
        </is>
      </c>
      <c r="H130" s="8" t="inlineStr">
        <is>
          <t>Fresh Fruit Bowl (150g watermelon or papaya) + 6 soaked almonds [110 kcal, 3g P, 22g C, 3g F, ₹30] | Alt: Tender Coconut Water (220ml) [45 kcal, 1g P, 10g C, 0g F, ₹35]</t>
        </is>
      </c>
      <c r="I130" s="8" t="inlineStr">
        <is>
          <t>Sona Masoori Rice (150g cooked) + Bengaluru Fish Curry (120g fresh fish in light gravy) + Cabbage &amp; Pea Poriyal (130g) + Rasam [450 kcal, 33g P, 46g C, 13g F, ₹80]</t>
        </is>
      </c>
      <c r="J130" s="8" t="inlineStr">
        <is>
          <t>2 Phulkas (80g) + Chicken Curry (95g cooked meat) + Cucumber Carrot Salad (100g) [440 kcal, 31g P, 44g C, 13g F, ₹65]</t>
        </is>
      </c>
      <c r="K130" s="8" t="inlineStr">
        <is>
          <t>Rice (150g) + Thick Chana Dal (180g) + Beans Palya (130g) + Fresh Curd (100g) [470 kcal, 22g P, 56g C, 15g F, ₹45]</t>
        </is>
      </c>
      <c r="L130" s="8" t="inlineStr">
        <is>
          <t>Roasted Puri Kadale / Chana (30g) + Warm Ginger Tea (100ml low-fat milk) [140 kcal, 6g P, 20g C, 3.5g F, ₹18] | Alt: Spiced Boiled Moong Sprouts (80g) with lime &amp; salt [110 kcal, 7g P, 18g C, 1g F, ₹15]</t>
        </is>
      </c>
      <c r="M130" s="8" t="inlineStr">
        <is>
          <t>2 Soft Phulkas (75g) + Soya Chunks &amp; Green Pea Curry (45g dry soya + 50g peas) + Fresh Curd (80g) [420 kcal, 29g P, 48g C, 9g F, ₹40]</t>
        </is>
      </c>
      <c r="N130" s="8" t="inlineStr">
        <is>
          <t>2 Phulkas (75g) + 2 Boiled Eggs in Homestyle Curry (100g) + Sliced Cucumber [410 kcal, 21g P, 42g C, 15g F, ₹38]</t>
        </is>
      </c>
      <c r="O130" s="8" t="inlineStr">
        <is>
          <t>2 Ragi Rotis (120g) + Mixed Vegetable Sambar (180ml) + Sautéed Palak (100g) [380 kcal, 14g P, 54g C, 8g F, ₹30]</t>
        </is>
      </c>
      <c r="P130" s="8" t="inlineStr">
        <is>
          <t>Optional Pre: 1 cup tender coconut water [45 kcal] • Post: 1 glass warm milk (150ml) [85 kcal, 5g P]</t>
        </is>
      </c>
      <c r="Q130" s="9" t="n">
        <v>1460</v>
      </c>
      <c r="R130" s="9" t="n">
        <v>85</v>
      </c>
      <c r="S130" s="9" t="n">
        <v>180</v>
      </c>
      <c r="T130" s="9" t="n">
        <v>40.5</v>
      </c>
      <c r="U130" s="9" t="n">
        <v>194</v>
      </c>
      <c r="V130" s="8" t="inlineStr">
        <is>
          <t>Dry roast semolina lightly. Tempered with mustard seeds, chana dal, green chillies &amp; mixed veggies. Use fresh local fish cuts (rohu, pomfret, or seer fish). Simmer gently for 8 mins.</t>
        </is>
      </c>
    </row>
    <row r="131" ht="36" customHeight="1">
      <c r="A131" s="10" t="inlineStr">
        <is>
          <t>2027-03-02</t>
        </is>
      </c>
      <c r="B131" s="10" t="n">
        <v>130</v>
      </c>
      <c r="C131" s="10" t="inlineStr">
        <is>
          <t>Tuesday</t>
        </is>
      </c>
      <c r="D131" s="11" t="inlineStr">
        <is>
          <t>Nourishing Rolled Oats &amp; Tender Chicken Palya</t>
        </is>
      </c>
      <c r="E131" s="11" t="inlineStr">
        <is>
          <t>Warm Rolled Oats (40g dry + 180ml toned milk) + 1 Boiled Egg + Apple slices (50g) [345 kcal, 18g P, 46g C, 10g F, ₹35]</t>
        </is>
      </c>
      <c r="F131" s="11" t="inlineStr">
        <is>
          <t>Vegetable Poha (160g cooked) + 2 Boiled Eggs [360 kcal, 18g P, 42g C, 14g F, ₹32]</t>
        </is>
      </c>
      <c r="G131" s="11" t="inlineStr">
        <is>
          <t>2 Plain Dosas (120g) + Toor Dal Sambar (150ml) + 1 cup warm sprouted moong [330 kcal, 14g P, 48g C, 7g F, ₹25]</t>
        </is>
      </c>
      <c r="H131" s="11" t="inlineStr">
        <is>
          <t>Tender Coconut Water (220ml) + 5 Soaked Almonds [95 kcal, 3g P, 12g C, 4g F, ₹40] | Alt: Fresh Spiced Buttermilk (220ml) with coriander &amp; rock salt [45 kcal, 3g P, 4g C, 1.5g F, ₹15]</t>
        </is>
      </c>
      <c r="I131" s="11" t="inlineStr">
        <is>
          <t>Sona Masoori Rice (150g cooked) + Tender Chicken Curry (130g raw / 95g meat) + Palak (Spinach) Palya (140g) + Rasam [470 kcal, 35g P, 46g C, 13g F, ₹75]</t>
        </is>
      </c>
      <c r="J131" s="11" t="inlineStr">
        <is>
          <t>2 Soft Phulkas (80g) + Fresh Paneer Curry (85g paneer in light gravy) + French Beans Palya (120g) [450 kcal, 21g P, 44g C, 19g F, ₹55]</t>
        </is>
      </c>
      <c r="K131" s="11" t="inlineStr">
        <is>
          <t>Rice (150g) + Toor Dal Tadka (180g) + 2 Boiled Eggs + Beetroot Poriyal (120g) [460 kcal, 25g P, 52g C, 14g F, ₹42]</t>
        </is>
      </c>
      <c r="L131" s="11" t="inlineStr">
        <is>
          <t>Roasted Makhana (30g) + Hot Green Tea with lemon [130 kcal, 3g P, 21g C, 3.5g F, ₹25] | Alt: Boiled Chickpeas Sundal (70g) with mustard &amp; curry leaves [125 kcal, 6g P, 20g C, 2.5g F, ₹18]</t>
        </is>
      </c>
      <c r="M131" s="11" t="inlineStr">
        <is>
          <t>2 Soft Phulkas (75g) + 2 Boiled Eggs in Tomato Onion Curry + Cucumber Salad (100g) [415 kcal, 21g P, 42g C, 15g F, ₹38]</t>
        </is>
      </c>
      <c r="N131" s="11" t="inlineStr">
        <is>
          <t>2 Phulkas (75g) + Grilled Chicken Strips (100g cooked) + Mixed Sautéed Capsicum &amp; Onions [425 kcal, 32g P, 40g C, 11g F, ₹65]</t>
        </is>
      </c>
      <c r="O131" s="11" t="inlineStr">
        <is>
          <t>Warm Moong Dal Vegetable Khichdi (220g) + Fresh Curd (100g) [380 kcal, 15g P, 56g C, 8g F, ₹35]</t>
        </is>
      </c>
      <c r="P131" s="11" t="inlineStr">
        <is>
          <t>Optional Pre: 1 small banana [70 kcal] • Post: 1 cup warm turmeric milk [90 kcal, 6g P]</t>
        </is>
      </c>
      <c r="Q131" s="12" t="n">
        <v>1455</v>
      </c>
      <c r="R131" s="12" t="n">
        <v>80</v>
      </c>
      <c r="S131" s="12" t="n">
        <v>167</v>
      </c>
      <c r="T131" s="12" t="n">
        <v>45.5</v>
      </c>
      <c r="U131" s="12" t="n">
        <v>213</v>
      </c>
      <c r="V131" s="11" t="inlineStr">
        <is>
          <t>Cook oats in milk for 4 mins on medium flame. Stir in pinch of cinnamon powder. Weigh raw boneless chicken (130g). Steam spinach lightly with mustard tempering.</t>
        </is>
      </c>
    </row>
    <row r="132" ht="36" customHeight="1">
      <c r="A132" s="7" t="inlineStr">
        <is>
          <t>2027-03-03</t>
        </is>
      </c>
      <c r="B132" s="7" t="n">
        <v>131</v>
      </c>
      <c r="C132" s="7" t="inlineStr">
        <is>
          <t>Wednesday</t>
        </is>
      </c>
      <c r="D132" s="8" t="inlineStr">
        <is>
          <t>Calcium-Rich Ragi Dosa &amp; Fresh Country Egg Feast</t>
        </is>
      </c>
      <c r="E132" s="8" t="inlineStr">
        <is>
          <t>Ragi Dosa (2 medium, 120g) + Coconut Mint Chutney (30g) + 2 Boiled Eggs [350 kcal, 19g P, 40g C, 13g F, ₹35]</t>
        </is>
      </c>
      <c r="F132" s="8" t="inlineStr">
        <is>
          <t>Steamed Idlis (3 pcs, 110g) + Vegetable Sambar (150ml) + 1 Boiled Egg [310 kcal, 13g P, 44g C, 8g F, ₹25]</t>
        </is>
      </c>
      <c r="G132" s="8" t="inlineStr">
        <is>
          <t>Vegetable Upma (180g) + Warm Toned Milk (150ml) [320 kcal, 11g P, 48g C, 9g F, ₹22]</t>
        </is>
      </c>
      <c r="H132" s="8" t="inlineStr">
        <is>
          <t>Fresh Seasonal Fruit (1 Medium Apple or 150g Papaya) + 6 Almonds [115 kcal, 3g P, 22g C, 3.5g F, ₹30] | Alt: Tender Coconut Water (220ml) [45 kcal, 1g P, 10g C, 0g F, ₹35]</t>
        </is>
      </c>
      <c r="I132" s="8" t="inlineStr">
        <is>
          <t>2 Soft Phulkas (80g) + Homestyle Egg Curry (2 eggs) + Cabbage &amp; Carrot Poriyal (140g) + Rasam [445 kcal, 22g P, 48g C, 16g F, ₹42]</t>
        </is>
      </c>
      <c r="J132" s="8" t="inlineStr">
        <is>
          <t>Sona Masoori Rice (150g) + Bengaluru Chicken Curry (95g meat) + Beans Palya (120g) [475 kcal, 34g P, 48g C, 14g F, ₹75]</t>
        </is>
      </c>
      <c r="K132" s="8" t="inlineStr">
        <is>
          <t>Rice (150g) + Thick Toor Dal Tadka (180g) + Fresh Curd (100g) + Tomato Cucumber Salad [440 kcal, 18g P, 56g C, 14g F, ₹40]</t>
        </is>
      </c>
      <c r="L132" s="8" t="inlineStr">
        <is>
          <t>Spiced Boiled Sundal / Chickpeas (80g) with lime [140 kcal, 7g P, 22g C, 3g F, ₹20] | Alt: Roasted Makhana (30g) in 1/2 tsp ghee &amp; rock salt [130 kcal, 3g P, 21g C, 3.5g F, ₹25]</t>
        </is>
      </c>
      <c r="M132" s="8" t="inlineStr">
        <is>
          <t>2 Soft Phulkas (75g) + Home Chicken Curry (100g meat) + Cucumber Salad (100g) [420 kcal, 31g P, 42g C, 12g F, ₹65]</t>
        </is>
      </c>
      <c r="N132" s="8" t="inlineStr">
        <is>
          <t>2 Phulkas (75g) + Fresh Paneer Bhurji (90g paneer, capsicum, onion) + Clear Soup [440 kcal, 20g P, 42g C, 20g F, ₹55]</t>
        </is>
      </c>
      <c r="O132" s="8" t="inlineStr">
        <is>
          <t>Rice-Moong Dal Khichdi (220g) + Curd (100g) + Lauki Sabzi (120g) [385 kcal, 14g P, 58g C, 8.5g F, ₹35]</t>
        </is>
      </c>
      <c r="P132" s="8" t="inlineStr">
        <is>
          <t>Optional Pre: 1 cup tender coconut water [45 kcal] • Post: 1 glass warm milk (150ml) [85 kcal, 5g P]</t>
        </is>
      </c>
      <c r="Q132" s="9" t="n">
        <v>1470</v>
      </c>
      <c r="R132" s="9" t="n">
        <v>82</v>
      </c>
      <c r="S132" s="9" t="n">
        <v>174</v>
      </c>
      <c r="T132" s="9" t="n">
        <v>47.5</v>
      </c>
      <c r="U132" s="9" t="n">
        <v>192</v>
      </c>
      <c r="V132" s="8" t="inlineStr">
        <is>
          <t>Mix ragi flour with equal water, pinch of salt, cumin seeds &amp; chopped onion. Pour on medium hot tawa. Cook vegetables in minimum oil with mustard seeds, curry leaves &amp; grated fresh coconut.</t>
        </is>
      </c>
    </row>
    <row r="133" ht="36" customHeight="1">
      <c r="A133" s="10" t="inlineStr">
        <is>
          <t>2027-03-04</t>
        </is>
      </c>
      <c r="B133" s="10" t="n">
        <v>132</v>
      </c>
      <c r="C133" s="10" t="inlineStr">
        <is>
          <t>Thursday</t>
        </is>
      </c>
      <c r="D133" s="11" t="inlineStr">
        <is>
          <t>High-Fiber Soya Chunks &amp; Comfort Idli Sambar</t>
        </is>
      </c>
      <c r="E133" s="11" t="inlineStr">
        <is>
          <t>Steamed Idlis (3 pcs, 110g) + Vegetable Sambar (150ml) + 2 Boiled Eggs [340 kcal, 19g P, 38g C, 12g F, ₹35]</t>
        </is>
      </c>
      <c r="F133" s="11" t="inlineStr">
        <is>
          <t>Vegetable Poha (160g cooked) + 1 Boiled Egg [310 kcal, 12g P, 44g C, 9g F, ₹26]</t>
        </is>
      </c>
      <c r="G133" s="11" t="inlineStr">
        <is>
          <t>Rolled Oats cooked in toned milk (40g + 180ml milk) with 1/2 apple [290 kcal, 12g P, 45g C, 6g F, ₹30]</t>
        </is>
      </c>
      <c r="H133" s="11" t="inlineStr">
        <is>
          <t>Spiced Buttermilk / Majjige (220ml) with curry leaves &amp; ginger [45 kcal, 3g P, 4g C, 1.5g F, ₹15] | Alt: Fresh Papaya slices (150g) + 5 almonds [110 kcal, 3g P, 22g C, 3g F, ₹28]</t>
        </is>
      </c>
      <c r="I133" s="11" t="inlineStr">
        <is>
          <t>Sona Masoori Rice (150g cooked) + Soya Chunks Curry (45g dry soya chunks cooked in onion-tomato gravy) + French Beans Palya (130g) + Rasam [460 kcal, 31g P, 56g C, 9g F, ₹42]</t>
        </is>
      </c>
      <c r="J133" s="11" t="inlineStr">
        <is>
          <t>2 Phulkas (80g) + Chicken Curry (95g meat) + Cabbage Poriyal (120g) [440 kcal, 31g P, 44g C, 13g F, ₹65]</t>
        </is>
      </c>
      <c r="K133" s="11" t="inlineStr">
        <is>
          <t>Rice (150g) + Thick Toor Dal (180g) + 2 Boiled Eggs + Ridge Gourd Palya (120g) [455 kcal, 24g P, 52g C, 14g F, ₹40]</t>
        </is>
      </c>
      <c r="L133" s="11" t="inlineStr">
        <is>
          <t>Roasted Kadale / Chana (30g) + Hot Elaichi Tea (100ml milk) [140 kcal, 6g P, 20g C, 3.5g F, ₹18] | Alt: Roasted Makhana (30g) in ghee &amp; rock salt [130 kcal, 3g P, 21g C, 3.5g F, ₹25]</t>
        </is>
      </c>
      <c r="M133" s="11" t="inlineStr">
        <is>
          <t>2 Soft Phulkas (75g) + 2 Boiled Eggs in Mild Curry + Cucumber Carrot Salad (120g) [415 kcal, 21g P, 42g C, 15g F, ₹38]</t>
        </is>
      </c>
      <c r="N133" s="11" t="inlineStr">
        <is>
          <t>2 Phulkas (75g) + Paneer Bhurji (90g paneer, capsicum, tomato) + Warm Soup [445 kcal, 20g P, 44g C, 19g F, ₹58]</t>
        </is>
      </c>
      <c r="O133" s="11" t="inlineStr">
        <is>
          <t>2 Ragi Rotis (120g) + Chicken Curry (90g meat) + Cucumber Slices [425 kcal, 30g P, 46g C, 11g F, ₹68]</t>
        </is>
      </c>
      <c r="P133" s="11" t="inlineStr">
        <is>
          <t>Optional Pre: 1 small banana [70 kcal] • Post: 1 glass warm milk [90 kcal, 6g P]</t>
        </is>
      </c>
      <c r="Q133" s="12" t="n">
        <v>1400</v>
      </c>
      <c r="R133" s="12" t="n">
        <v>80</v>
      </c>
      <c r="S133" s="12" t="n">
        <v>160</v>
      </c>
      <c r="T133" s="12" t="n">
        <v>41</v>
      </c>
      <c r="U133" s="12" t="n">
        <v>151</v>
      </c>
      <c r="V133" s="11" t="inlineStr">
        <is>
          <t>Dip idlis in piping hot sambar. Eggs provide complete amino acid profile. Soak soya chunks in warm water for 15 mins. Squeeze out bitter water completely before cooking.</t>
        </is>
      </c>
    </row>
    <row r="134" ht="36" customHeight="1">
      <c r="A134" s="7" t="inlineStr">
        <is>
          <t>2027-03-05</t>
        </is>
      </c>
      <c r="B134" s="7" t="n">
        <v>133</v>
      </c>
      <c r="C134" s="7" t="inlineStr">
        <is>
          <t>Friday</t>
        </is>
      </c>
      <c r="D134" s="8" t="inlineStr">
        <is>
          <t>Comfort Steamed Staples &amp; Bengaluru Chicken Curry</t>
        </is>
      </c>
      <c r="E134" s="8" t="inlineStr">
        <is>
          <t>Steamed Idlis (3 pcs, 110g) + Veg Sambar (150ml) + 2 Boiled Eggs (100g) [340 kcal, 19g P, 38g C, 12g F, ₹35]</t>
        </is>
      </c>
      <c r="F134" s="8" t="inlineStr">
        <is>
          <t>Steamed Idlis (3 pcs) + Veg Sambar + 1 cup warm sprouted moong salad (100g) [310 kcal, 13g P, 46g C, 5g F, ₹25]</t>
        </is>
      </c>
      <c r="G134" s="8" t="inlineStr">
        <is>
          <t>Ragi Dosa (2 medium, 120g) + Mint Chutney (30g) + 1 Boiled Egg [320 kcal, 14g P, 42g C, 11g F, ₹28]</t>
        </is>
      </c>
      <c r="H134" s="8" t="inlineStr">
        <is>
          <t>Tender Coconut Water (220ml) + Handful Roasted Chana (25g) [130 kcal, 5g P, 22g C, 2g F, ₹40] | Alt: Fresh Papaya slices (150g) + 5 soaked almonds [110 kcal, 3g P, 22g C, 3g F, ₹30]</t>
        </is>
      </c>
      <c r="I134" s="8" t="inlineStr">
        <is>
          <t>Sona Masoori Rice (150g cooked / 55g raw) + Bengaluru Chicken Curry (130g raw / 95g cooked meat) + French Beans Palya (130g) + Pepper Rasam [475 kcal, 34g P, 48g C, 14g F, ₹75]</t>
        </is>
      </c>
      <c r="J134" s="8" t="inlineStr">
        <is>
          <t>2 Soft Wheat Phulkas (80g) + Homestyle Egg Curry (2 eggs in onion-tomato gravy) + Cabbage Poriyal (140g) [440 kcal, 21g P, 48g C, 16g F, ₹40]</t>
        </is>
      </c>
      <c r="K134" s="8" t="inlineStr">
        <is>
          <t>Sona Masoori Rice (150g) + Thick Toor Dal Tadka (180g) + Paneer Palya (80g paneer) + Fresh Curd (100g) [480 kcal, 23g P, 54g C, 18g F, ₹55]</t>
        </is>
      </c>
      <c r="L134" s="8" t="inlineStr">
        <is>
          <t>Spiced Boiled Sundal / Chickpeas (80g) with mustard tempering &amp; lemon [140 kcal, 7g P, 22g C, 3g F, ₹20] | Alt: Roasted Makhana (30g) in 1/2 tsp ghee &amp; rock salt [130 kcal, 3g P, 21g C, 3.5g F, ₹25]</t>
        </is>
      </c>
      <c r="M134" s="8" t="inlineStr">
        <is>
          <t>2 Soft Whole Wheat Phulkas (75g) + Grilled/Pan Chicken Curry (100g meat) + Cucumber Tomato Salad (120g) [420 kcal, 31g P, 42g C, 12g F, ₹65]</t>
        </is>
      </c>
      <c r="N134" s="8" t="inlineStr">
        <is>
          <t>2 Phulkas (75g) + Fresh Paneer Bhurji (90g paneer with capsicum &amp; onion) + Tomato Clear Soup [440 kcal, 20g P, 42g C, 20g F, ₹55]</t>
        </is>
      </c>
      <c r="O134" s="8" t="inlineStr">
        <is>
          <t>Warm Rice-Moong Dal Khichdi (220g) + Fresh Curd (100g) + Steamed Beetroot Poriyal (100g) [380 kcal, 14g P, 58g C, 8g F, ₹35]</t>
        </is>
      </c>
      <c r="P134" s="8" t="inlineStr">
        <is>
          <t>Optional Pre: 1 small banana (80g) [70 kcal] • Post: 1 glass warm toned milk with turmeric (180ml) [95 kcal, 6g P]</t>
        </is>
      </c>
      <c r="Q134" s="9" t="n">
        <v>1505</v>
      </c>
      <c r="R134" s="9" t="n">
        <v>96</v>
      </c>
      <c r="S134" s="9" t="n">
        <v>172</v>
      </c>
      <c r="T134" s="9" t="n">
        <v>43</v>
      </c>
      <c r="U134" s="9" t="n">
        <v>235</v>
      </c>
      <c r="V134" s="8" t="inlineStr">
        <is>
          <t>Steam idlis in idli cooker for 10-12 mins. Weigh 110g cooked on kitchen scale. Zero plate on scale, measure 150g warm rice, then add 95g cooked chicken meat without bones.</t>
        </is>
      </c>
    </row>
    <row r="135" ht="36" customHeight="1">
      <c r="A135" s="10" t="inlineStr">
        <is>
          <t>2027-03-06</t>
        </is>
      </c>
      <c r="B135" s="10" t="n">
        <v>134</v>
      </c>
      <c r="C135" s="10" t="inlineStr">
        <is>
          <t>Saturday</t>
        </is>
      </c>
      <c r="D135" s="11" t="inlineStr">
        <is>
          <t>Iron-Rich Poha, Egg Curry &amp; Golden Turmeric Phulkas</t>
        </is>
      </c>
      <c r="E135" s="11" t="inlineStr">
        <is>
          <t>Vegetable Poha (160g cooked) tempered with mustard &amp; roasted peanuts (15g) + 1 Boiled Egg [330 kcal, 13g P, 44g C, 11g F, ₹28]</t>
        </is>
      </c>
      <c r="F135" s="11" t="inlineStr">
        <is>
          <t>Vegetable Poha (180g) + 1 glass warm toned milk (150ml) [310 kcal, 11g P, 48g C, 8g F, ₹24]</t>
        </is>
      </c>
      <c r="G135" s="11" t="inlineStr">
        <is>
          <t>Rolled Oats cooked in milk (40g oats + 180ml toned milk) with half diced apple [290 kcal, 12g P, 45g C, 6g F, ₹30]</t>
        </is>
      </c>
      <c r="H135" s="11" t="inlineStr">
        <is>
          <t>Spiced Majjige / Buttermilk (220ml) with grated ginger &amp; curry leaves [45 kcal, 3g P, 4g C, 1.5g F, ₹15] | Alt: 1 Crisp Guava or Apple (130g) with pinch of rock salt [75 kcal, 1.5g P, 18g C, 0.5g F, ₹20]</t>
        </is>
      </c>
      <c r="I135" s="11" t="inlineStr">
        <is>
          <t>2 Soft Phulkas (80g) + 2 Boiled Eggs in Onion-Tomato Gravy (120g gravy) + Ridge Gourd (Heerekayi) Palya (140g) [450 kcal, 22g P, 48g C, 17g F, ₹45]</t>
        </is>
      </c>
      <c r="J135" s="11" t="inlineStr">
        <is>
          <t>Sona Masoori Rice (150g) + Fish Curry (120g rohu/pomfret in light coconut gravy) + Beans Poriyal (120g) [460 kcal, 32g P, 46g C, 13g F, ₹80]</t>
        </is>
      </c>
      <c r="K135" s="11" t="inlineStr">
        <is>
          <t>Cooked Rice (150g) + Mixed Vegetable Sambar (180g) + Pan-seared Tofu or Paneer (80g) + Cucumber Slices [465 kcal, 21g P, 52g C, 17g F, ₹55]</t>
        </is>
      </c>
      <c r="L135" s="11" t="inlineStr">
        <is>
          <t>Boiled Sweet Corn (120g) with lemon squeeze &amp; chaat masala [120 kcal, 4g P, 24g C, 1.5g F, ₹20] | Alt: Roasted Kadale / Chana (30g) + Warm Elaichi Green Tea [125 kcal, 6g P, 18g C, 2.5g F, ₹15]</t>
        </is>
      </c>
      <c r="M135" s="11" t="inlineStr">
        <is>
          <t>2 Soft Phulkas (75g) + Fresh Paneer Bhurji (90g paneer, capsicum, tomato) + Warm Tomato Rasam (150ml) [445 kcal, 21g P, 44g C, 19g F, ₹60]</t>
        </is>
      </c>
      <c r="N135" s="11" t="inlineStr">
        <is>
          <t>2 Ragi Rotis (130g) + Chicken Curry (90g cooked meat) + Onion Cucumber Raita (80g) [430 kcal, 30g P, 46g C, 11g F, ₹70]</t>
        </is>
      </c>
      <c r="O135" s="11" t="inlineStr">
        <is>
          <t>Moong Dal Vegetable Dalia Khichdi (220g) + Fresh Curd (100g) [390 kcal, 16g P, 54g C, 9g F, ₹35]</t>
        </is>
      </c>
      <c r="P135" s="11" t="inlineStr">
        <is>
          <t>Optional Pre: 2 Medjool dates [80 kcal] • Post: 1 boiled egg white or 100g warm milk [55 kcal, 4g P]</t>
        </is>
      </c>
      <c r="Q135" s="12" t="n">
        <v>1390</v>
      </c>
      <c r="R135" s="12" t="n">
        <v>63</v>
      </c>
      <c r="S135" s="12" t="n">
        <v>164</v>
      </c>
      <c r="T135" s="12" t="n">
        <v>50</v>
      </c>
      <c r="U135" s="12" t="n">
        <v>168</v>
      </c>
      <c r="V135" s="11" t="inlineStr">
        <is>
          <t>Rinse thick poha in colander, drain well. Sauté with onion, curry leaves, carrots &amp; roasted peanuts. Prick boiled eggs gently before simmering in gravy to absorb rich flavours.</t>
        </is>
      </c>
    </row>
    <row r="136" ht="36" customHeight="1">
      <c r="A136" s="7" t="inlineStr">
        <is>
          <t>2027-03-07</t>
        </is>
      </c>
      <c r="B136" s="7" t="n">
        <v>135</v>
      </c>
      <c r="C136" s="7" t="inlineStr">
        <is>
          <t>Sunday</t>
        </is>
      </c>
      <c r="D136" s="8" t="inlineStr">
        <is>
          <t>Bengaluru Rava Upma &amp; Fresh Coastal Home Curry</t>
        </is>
      </c>
      <c r="E136" s="8" t="inlineStr">
        <is>
          <t>Bengaluru Vegetable Rava Upma (180g cooked) with roasted peanuts + 1 Boiled Egg [340 kcal, 14g P, 44g C, 12g F, ₹26]</t>
        </is>
      </c>
      <c r="F136" s="8" t="inlineStr">
        <is>
          <t>Vegetable Upma (180g) + 1 glass warm toned milk (150ml) [320 kcal, 11g P, 48g C, 9g F, ₹24]</t>
        </is>
      </c>
      <c r="G136" s="8" t="inlineStr">
        <is>
          <t>Steamed Idlis (3 pcs) with Mint Toor Dal Chutney (40g) + 1 Boiled Egg [320 kcal, 15g P, 42g C, 9g F, ₹28]</t>
        </is>
      </c>
      <c r="H136" s="8" t="inlineStr">
        <is>
          <t>Fresh Fruit Bowl (150g watermelon or papaya) + 6 soaked almonds [110 kcal, 3g P, 22g C, 3g F, ₹30] | Alt: Tender Coconut Water (220ml) [45 kcal, 1g P, 10g C, 0g F, ₹35]</t>
        </is>
      </c>
      <c r="I136" s="8" t="inlineStr">
        <is>
          <t>Sona Masoori Rice (150g cooked) + Bengaluru Fish Curry (120g fresh fish in light gravy) + Cabbage &amp; Pea Poriyal (130g) + Rasam [450 kcal, 33g P, 46g C, 13g F, ₹80]</t>
        </is>
      </c>
      <c r="J136" s="8" t="inlineStr">
        <is>
          <t>2 Phulkas (80g) + Chicken Curry (95g cooked meat) + Cucumber Carrot Salad (100g) [440 kcal, 31g P, 44g C, 13g F, ₹65]</t>
        </is>
      </c>
      <c r="K136" s="8" t="inlineStr">
        <is>
          <t>Rice (150g) + Thick Chana Dal (180g) + Beans Palya (130g) + Fresh Curd (100g) [470 kcal, 22g P, 56g C, 15g F, ₹45]</t>
        </is>
      </c>
      <c r="L136" s="8" t="inlineStr">
        <is>
          <t>Roasted Puri Kadale / Chana (30g) + Warm Ginger Tea (100ml low-fat milk) [140 kcal, 6g P, 20g C, 3.5g F, ₹18] | Alt: Spiced Boiled Moong Sprouts (80g) with lime &amp; salt [110 kcal, 7g P, 18g C, 1g F, ₹15]</t>
        </is>
      </c>
      <c r="M136" s="8" t="inlineStr">
        <is>
          <t>2 Soft Phulkas (75g) + Soya Chunks &amp; Green Pea Curry (45g dry soya + 50g peas) + Fresh Curd (80g) [420 kcal, 29g P, 48g C, 9g F, ₹40]</t>
        </is>
      </c>
      <c r="N136" s="8" t="inlineStr">
        <is>
          <t>2 Phulkas (75g) + 2 Boiled Eggs in Homestyle Curry (100g) + Sliced Cucumber [410 kcal, 21g P, 42g C, 15g F, ₹38]</t>
        </is>
      </c>
      <c r="O136" s="8" t="inlineStr">
        <is>
          <t>2 Ragi Rotis (120g) + Mixed Vegetable Sambar (180ml) + Sautéed Palak (100g) [380 kcal, 14g P, 54g C, 8g F, ₹30]</t>
        </is>
      </c>
      <c r="P136" s="8" t="inlineStr">
        <is>
          <t>Optional Pre: 1 cup tender coconut water [45 kcal] • Post: 1 glass warm milk (150ml) [85 kcal, 5g P]</t>
        </is>
      </c>
      <c r="Q136" s="9" t="n">
        <v>1460</v>
      </c>
      <c r="R136" s="9" t="n">
        <v>85</v>
      </c>
      <c r="S136" s="9" t="n">
        <v>180</v>
      </c>
      <c r="T136" s="9" t="n">
        <v>40.5</v>
      </c>
      <c r="U136" s="9" t="n">
        <v>194</v>
      </c>
      <c r="V136" s="8" t="inlineStr">
        <is>
          <t>Dry roast semolina lightly. Tempered with mustard seeds, chana dal, green chillies &amp; mixed veggies. Use fresh local fish cuts (rohu, pomfret, or seer fish). Simmer gently for 8 mins.</t>
        </is>
      </c>
    </row>
    <row r="137" ht="36" customHeight="1">
      <c r="A137" s="10" t="inlineStr">
        <is>
          <t>2027-03-08</t>
        </is>
      </c>
      <c r="B137" s="10" t="n">
        <v>136</v>
      </c>
      <c r="C137" s="10" t="inlineStr">
        <is>
          <t>Monday</t>
        </is>
      </c>
      <c r="D137" s="11" t="inlineStr">
        <is>
          <t>Nourishing Rolled Oats &amp; Tender Chicken Palya</t>
        </is>
      </c>
      <c r="E137" s="11" t="inlineStr">
        <is>
          <t>Warm Rolled Oats (40g dry + 180ml toned milk) + 1 Boiled Egg + Apple slices (50g) [345 kcal, 18g P, 46g C, 10g F, ₹35]</t>
        </is>
      </c>
      <c r="F137" s="11" t="inlineStr">
        <is>
          <t>Vegetable Poha (160g cooked) + 2 Boiled Eggs [360 kcal, 18g P, 42g C, 14g F, ₹32]</t>
        </is>
      </c>
      <c r="G137" s="11" t="inlineStr">
        <is>
          <t>2 Plain Dosas (120g) + Toor Dal Sambar (150ml) + 1 cup warm sprouted moong [330 kcal, 14g P, 48g C, 7g F, ₹25]</t>
        </is>
      </c>
      <c r="H137" s="11" t="inlineStr">
        <is>
          <t>Tender Coconut Water (220ml) + 5 Soaked Almonds [95 kcal, 3g P, 12g C, 4g F, ₹40] | Alt: Fresh Spiced Buttermilk (220ml) with coriander &amp; rock salt [45 kcal, 3g P, 4g C, 1.5g F, ₹15]</t>
        </is>
      </c>
      <c r="I137" s="11" t="inlineStr">
        <is>
          <t>Sona Masoori Rice (150g cooked) + Tender Chicken Curry (130g raw / 95g meat) + Palak (Spinach) Palya (140g) + Rasam [470 kcal, 35g P, 46g C, 13g F, ₹75]</t>
        </is>
      </c>
      <c r="J137" s="11" t="inlineStr">
        <is>
          <t>2 Soft Phulkas (80g) + Fresh Paneer Curry (85g paneer in light gravy) + French Beans Palya (120g) [450 kcal, 21g P, 44g C, 19g F, ₹55]</t>
        </is>
      </c>
      <c r="K137" s="11" t="inlineStr">
        <is>
          <t>Rice (150g) + Toor Dal Tadka (180g) + 2 Boiled Eggs + Beetroot Poriyal (120g) [460 kcal, 25g P, 52g C, 14g F, ₹42]</t>
        </is>
      </c>
      <c r="L137" s="11" t="inlineStr">
        <is>
          <t>Roasted Makhana (30g) + Hot Green Tea with lemon [130 kcal, 3g P, 21g C, 3.5g F, ₹25] | Alt: Boiled Chickpeas Sundal (70g) with mustard &amp; curry leaves [125 kcal, 6g P, 20g C, 2.5g F, ₹18]</t>
        </is>
      </c>
      <c r="M137" s="11" t="inlineStr">
        <is>
          <t>2 Soft Phulkas (75g) + 2 Boiled Eggs in Tomato Onion Curry + Cucumber Salad (100g) [415 kcal, 21g P, 42g C, 15g F, ₹38]</t>
        </is>
      </c>
      <c r="N137" s="11" t="inlineStr">
        <is>
          <t>2 Phulkas (75g) + Grilled Chicken Strips (100g cooked) + Mixed Sautéed Capsicum &amp; Onions [425 kcal, 32g P, 40g C, 11g F, ₹65]</t>
        </is>
      </c>
      <c r="O137" s="11" t="inlineStr">
        <is>
          <t>Warm Moong Dal Vegetable Khichdi (220g) + Fresh Curd (100g) [380 kcal, 15g P, 56g C, 8g F, ₹35]</t>
        </is>
      </c>
      <c r="P137" s="11" t="inlineStr">
        <is>
          <t>Optional Pre: 1 small banana [70 kcal] • Post: 1 cup warm turmeric milk [90 kcal, 6g P]</t>
        </is>
      </c>
      <c r="Q137" s="12" t="n">
        <v>1455</v>
      </c>
      <c r="R137" s="12" t="n">
        <v>80</v>
      </c>
      <c r="S137" s="12" t="n">
        <v>167</v>
      </c>
      <c r="T137" s="12" t="n">
        <v>45.5</v>
      </c>
      <c r="U137" s="12" t="n">
        <v>213</v>
      </c>
      <c r="V137" s="11" t="inlineStr">
        <is>
          <t>Cook oats in milk for 4 mins on medium flame. Stir in pinch of cinnamon powder. Weigh raw boneless chicken (130g). Steam spinach lightly with mustard tempering.</t>
        </is>
      </c>
    </row>
    <row r="138" ht="36" customHeight="1">
      <c r="A138" s="7" t="inlineStr">
        <is>
          <t>2027-03-09</t>
        </is>
      </c>
      <c r="B138" s="7" t="n">
        <v>137</v>
      </c>
      <c r="C138" s="7" t="inlineStr">
        <is>
          <t>Tuesday</t>
        </is>
      </c>
      <c r="D138" s="8" t="inlineStr">
        <is>
          <t>Calcium-Rich Ragi Dosa &amp; Fresh Country Egg Feast</t>
        </is>
      </c>
      <c r="E138" s="8" t="inlineStr">
        <is>
          <t>Ragi Dosa (2 medium, 120g) + Coconut Mint Chutney (30g) + 2 Boiled Eggs [350 kcal, 19g P, 40g C, 13g F, ₹35]</t>
        </is>
      </c>
      <c r="F138" s="8" t="inlineStr">
        <is>
          <t>Steamed Idlis (3 pcs, 110g) + Vegetable Sambar (150ml) + 1 Boiled Egg [310 kcal, 13g P, 44g C, 8g F, ₹25]</t>
        </is>
      </c>
      <c r="G138" s="8" t="inlineStr">
        <is>
          <t>Vegetable Upma (180g) + Warm Toned Milk (150ml) [320 kcal, 11g P, 48g C, 9g F, ₹22]</t>
        </is>
      </c>
      <c r="H138" s="8" t="inlineStr">
        <is>
          <t>Fresh Seasonal Fruit (1 Medium Apple or 150g Papaya) + 6 Almonds [115 kcal, 3g P, 22g C, 3.5g F, ₹30] | Alt: Tender Coconut Water (220ml) [45 kcal, 1g P, 10g C, 0g F, ₹35]</t>
        </is>
      </c>
      <c r="I138" s="8" t="inlineStr">
        <is>
          <t>2 Soft Phulkas (80g) + Homestyle Egg Curry (2 eggs) + Cabbage &amp; Carrot Poriyal (140g) + Rasam [445 kcal, 22g P, 48g C, 16g F, ₹42]</t>
        </is>
      </c>
      <c r="J138" s="8" t="inlineStr">
        <is>
          <t>Sona Masoori Rice (150g) + Bengaluru Chicken Curry (95g meat) + Beans Palya (120g) [475 kcal, 34g P, 48g C, 14g F, ₹75]</t>
        </is>
      </c>
      <c r="K138" s="8" t="inlineStr">
        <is>
          <t>Rice (150g) + Thick Toor Dal Tadka (180g) + Fresh Curd (100g) + Tomato Cucumber Salad [440 kcal, 18g P, 56g C, 14g F, ₹40]</t>
        </is>
      </c>
      <c r="L138" s="8" t="inlineStr">
        <is>
          <t>Spiced Boiled Sundal / Chickpeas (80g) with lime [140 kcal, 7g P, 22g C, 3g F, ₹20] | Alt: Roasted Makhana (30g) in 1/2 tsp ghee &amp; rock salt [130 kcal, 3g P, 21g C, 3.5g F, ₹25]</t>
        </is>
      </c>
      <c r="M138" s="8" t="inlineStr">
        <is>
          <t>2 Soft Phulkas (75g) + Home Chicken Curry (100g meat) + Cucumber Salad (100g) [420 kcal, 31g P, 42g C, 12g F, ₹65]</t>
        </is>
      </c>
      <c r="N138" s="8" t="inlineStr">
        <is>
          <t>2 Phulkas (75g) + Fresh Paneer Bhurji (90g paneer, capsicum, onion) + Clear Soup [440 kcal, 20g P, 42g C, 20g F, ₹55]</t>
        </is>
      </c>
      <c r="O138" s="8" t="inlineStr">
        <is>
          <t>Rice-Moong Dal Khichdi (220g) + Curd (100g) + Lauki Sabzi (120g) [385 kcal, 14g P, 58g C, 8.5g F, ₹35]</t>
        </is>
      </c>
      <c r="P138" s="8" t="inlineStr">
        <is>
          <t>Optional Pre: 1 cup tender coconut water [45 kcal] • Post: 1 glass warm milk (150ml) [85 kcal, 5g P]</t>
        </is>
      </c>
      <c r="Q138" s="9" t="n">
        <v>1470</v>
      </c>
      <c r="R138" s="9" t="n">
        <v>82</v>
      </c>
      <c r="S138" s="9" t="n">
        <v>174</v>
      </c>
      <c r="T138" s="9" t="n">
        <v>47.5</v>
      </c>
      <c r="U138" s="9" t="n">
        <v>192</v>
      </c>
      <c r="V138" s="8" t="inlineStr">
        <is>
          <t>Mix ragi flour with equal water, pinch of salt, cumin seeds &amp; chopped onion. Pour on medium hot tawa. Cook vegetables in minimum oil with mustard seeds, curry leaves &amp; grated fresh coconut.</t>
        </is>
      </c>
    </row>
    <row r="139" ht="36" customHeight="1">
      <c r="A139" s="10" t="inlineStr">
        <is>
          <t>2027-03-10</t>
        </is>
      </c>
      <c r="B139" s="10" t="n">
        <v>138</v>
      </c>
      <c r="C139" s="10" t="inlineStr">
        <is>
          <t>Wednesday</t>
        </is>
      </c>
      <c r="D139" s="11" t="inlineStr">
        <is>
          <t>High-Fiber Soya Chunks &amp; Comfort Idli Sambar</t>
        </is>
      </c>
      <c r="E139" s="11" t="inlineStr">
        <is>
          <t>Steamed Idlis (3 pcs, 110g) + Vegetable Sambar (150ml) + 2 Boiled Eggs [340 kcal, 19g P, 38g C, 12g F, ₹35]</t>
        </is>
      </c>
      <c r="F139" s="11" t="inlineStr">
        <is>
          <t>Vegetable Poha (160g cooked) + 1 Boiled Egg [310 kcal, 12g P, 44g C, 9g F, ₹26]</t>
        </is>
      </c>
      <c r="G139" s="11" t="inlineStr">
        <is>
          <t>Rolled Oats cooked in toned milk (40g + 180ml milk) with 1/2 apple [290 kcal, 12g P, 45g C, 6g F, ₹30]</t>
        </is>
      </c>
      <c r="H139" s="11" t="inlineStr">
        <is>
          <t>Spiced Buttermilk / Majjige (220ml) with curry leaves &amp; ginger [45 kcal, 3g P, 4g C, 1.5g F, ₹15] | Alt: Fresh Papaya slices (150g) + 5 almonds [110 kcal, 3g P, 22g C, 3g F, ₹28]</t>
        </is>
      </c>
      <c r="I139" s="11" t="inlineStr">
        <is>
          <t>Sona Masoori Rice (150g cooked) + Soya Chunks Curry (45g dry soya chunks cooked in onion-tomato gravy) + French Beans Palya (130g) + Rasam [460 kcal, 31g P, 56g C, 9g F, ₹42]</t>
        </is>
      </c>
      <c r="J139" s="11" t="inlineStr">
        <is>
          <t>2 Phulkas (80g) + Chicken Curry (95g meat) + Cabbage Poriyal (120g) [440 kcal, 31g P, 44g C, 13g F, ₹65]</t>
        </is>
      </c>
      <c r="K139" s="11" t="inlineStr">
        <is>
          <t>Rice (150g) + Thick Toor Dal (180g) + 2 Boiled Eggs + Ridge Gourd Palya (120g) [455 kcal, 24g P, 52g C, 14g F, ₹40]</t>
        </is>
      </c>
      <c r="L139" s="11" t="inlineStr">
        <is>
          <t>Roasted Kadale / Chana (30g) + Hot Elaichi Tea (100ml milk) [140 kcal, 6g P, 20g C, 3.5g F, ₹18] | Alt: Roasted Makhana (30g) in ghee &amp; rock salt [130 kcal, 3g P, 21g C, 3.5g F, ₹25]</t>
        </is>
      </c>
      <c r="M139" s="11" t="inlineStr">
        <is>
          <t>2 Soft Phulkas (75g) + 2 Boiled Eggs in Mild Curry + Cucumber Carrot Salad (120g) [415 kcal, 21g P, 42g C, 15g F, ₹38]</t>
        </is>
      </c>
      <c r="N139" s="11" t="inlineStr">
        <is>
          <t>2 Phulkas (75g) + Paneer Bhurji (90g paneer, capsicum, tomato) + Warm Soup [445 kcal, 20g P, 44g C, 19g F, ₹58]</t>
        </is>
      </c>
      <c r="O139" s="11" t="inlineStr">
        <is>
          <t>2 Ragi Rotis (120g) + Chicken Curry (90g meat) + Cucumber Slices [425 kcal, 30g P, 46g C, 11g F, ₹68]</t>
        </is>
      </c>
      <c r="P139" s="11" t="inlineStr">
        <is>
          <t>Optional Pre: 1 small banana [70 kcal] • Post: 1 glass warm milk [90 kcal, 6g P]</t>
        </is>
      </c>
      <c r="Q139" s="12" t="n">
        <v>1400</v>
      </c>
      <c r="R139" s="12" t="n">
        <v>80</v>
      </c>
      <c r="S139" s="12" t="n">
        <v>160</v>
      </c>
      <c r="T139" s="12" t="n">
        <v>41</v>
      </c>
      <c r="U139" s="12" t="n">
        <v>151</v>
      </c>
      <c r="V139" s="11" t="inlineStr">
        <is>
          <t>Dip idlis in piping hot sambar. Eggs provide complete amino acid profile. Soak soya chunks in warm water for 15 mins. Squeeze out bitter water completely before cooking.</t>
        </is>
      </c>
    </row>
    <row r="140" ht="36" customHeight="1">
      <c r="A140" s="7" t="inlineStr">
        <is>
          <t>2027-03-11</t>
        </is>
      </c>
      <c r="B140" s="7" t="n">
        <v>139</v>
      </c>
      <c r="C140" s="7" t="inlineStr">
        <is>
          <t>Thursday</t>
        </is>
      </c>
      <c r="D140" s="8" t="inlineStr">
        <is>
          <t>Comfort Steamed Staples &amp; Bengaluru Chicken Curry</t>
        </is>
      </c>
      <c r="E140" s="8" t="inlineStr">
        <is>
          <t>Steamed Idlis (3 pcs, 110g) + Veg Sambar (150ml) + 2 Boiled Eggs (100g) [340 kcal, 19g P, 38g C, 12g F, ₹35]</t>
        </is>
      </c>
      <c r="F140" s="8" t="inlineStr">
        <is>
          <t>Steamed Idlis (3 pcs) + Veg Sambar + 1 cup warm sprouted moong salad (100g) [310 kcal, 13g P, 46g C, 5g F, ₹25]</t>
        </is>
      </c>
      <c r="G140" s="8" t="inlineStr">
        <is>
          <t>Ragi Dosa (2 medium, 120g) + Mint Chutney (30g) + 1 Boiled Egg [320 kcal, 14g P, 42g C, 11g F, ₹28]</t>
        </is>
      </c>
      <c r="H140" s="8" t="inlineStr">
        <is>
          <t>Tender Coconut Water (220ml) + Handful Roasted Chana (25g) [130 kcal, 5g P, 22g C, 2g F, ₹40] | Alt: Fresh Papaya slices (150g) + 5 soaked almonds [110 kcal, 3g P, 22g C, 3g F, ₹30]</t>
        </is>
      </c>
      <c r="I140" s="8" t="inlineStr">
        <is>
          <t>Sona Masoori Rice (150g cooked / 55g raw) + Bengaluru Chicken Curry (130g raw / 95g cooked meat) + French Beans Palya (130g) + Pepper Rasam [475 kcal, 34g P, 48g C, 14g F, ₹75]</t>
        </is>
      </c>
      <c r="J140" s="8" t="inlineStr">
        <is>
          <t>2 Soft Wheat Phulkas (80g) + Homestyle Egg Curry (2 eggs in onion-tomato gravy) + Cabbage Poriyal (140g) [440 kcal, 21g P, 48g C, 16g F, ₹40]</t>
        </is>
      </c>
      <c r="K140" s="8" t="inlineStr">
        <is>
          <t>Sona Masoori Rice (150g) + Thick Toor Dal Tadka (180g) + Paneer Palya (80g paneer) + Fresh Curd (100g) [480 kcal, 23g P, 54g C, 18g F, ₹55]</t>
        </is>
      </c>
      <c r="L140" s="8" t="inlineStr">
        <is>
          <t>Spiced Boiled Sundal / Chickpeas (80g) with mustard tempering &amp; lemon [140 kcal, 7g P, 22g C, 3g F, ₹20] | Alt: Roasted Makhana (30g) in 1/2 tsp ghee &amp; rock salt [130 kcal, 3g P, 21g C, 3.5g F, ₹25]</t>
        </is>
      </c>
      <c r="M140" s="8" t="inlineStr">
        <is>
          <t>2 Soft Whole Wheat Phulkas (75g) + Grilled/Pan Chicken Curry (100g meat) + Cucumber Tomato Salad (120g) [420 kcal, 31g P, 42g C, 12g F, ₹65]</t>
        </is>
      </c>
      <c r="N140" s="8" t="inlineStr">
        <is>
          <t>2 Phulkas (75g) + Fresh Paneer Bhurji (90g paneer with capsicum &amp; onion) + Tomato Clear Soup [440 kcal, 20g P, 42g C, 20g F, ₹55]</t>
        </is>
      </c>
      <c r="O140" s="8" t="inlineStr">
        <is>
          <t>Warm Rice-Moong Dal Khichdi (220g) + Fresh Curd (100g) + Steamed Beetroot Poriyal (100g) [380 kcal, 14g P, 58g C, 8g F, ₹35]</t>
        </is>
      </c>
      <c r="P140" s="8" t="inlineStr">
        <is>
          <t>Optional Pre: 1 small banana (80g) [70 kcal] • Post: 1 glass warm toned milk with turmeric (180ml) [95 kcal, 6g P]</t>
        </is>
      </c>
      <c r="Q140" s="9" t="n">
        <v>1505</v>
      </c>
      <c r="R140" s="9" t="n">
        <v>96</v>
      </c>
      <c r="S140" s="9" t="n">
        <v>172</v>
      </c>
      <c r="T140" s="9" t="n">
        <v>43</v>
      </c>
      <c r="U140" s="9" t="n">
        <v>235</v>
      </c>
      <c r="V140" s="8" t="inlineStr">
        <is>
          <t>Steam idlis in idli cooker for 10-12 mins. Weigh 110g cooked on kitchen scale. Zero plate on scale, measure 150g warm rice, then add 95g cooked chicken meat without bones.</t>
        </is>
      </c>
    </row>
    <row r="141" ht="36" customHeight="1">
      <c r="A141" s="10" t="inlineStr">
        <is>
          <t>2027-03-12</t>
        </is>
      </c>
      <c r="B141" s="10" t="n">
        <v>140</v>
      </c>
      <c r="C141" s="10" t="inlineStr">
        <is>
          <t>Friday</t>
        </is>
      </c>
      <c r="D141" s="11" t="inlineStr">
        <is>
          <t>Iron-Rich Poha, Egg Curry &amp; Golden Turmeric Phulkas</t>
        </is>
      </c>
      <c r="E141" s="11" t="inlineStr">
        <is>
          <t>Vegetable Poha (160g cooked) tempered with mustard &amp; roasted peanuts (15g) + 1 Boiled Egg [330 kcal, 13g P, 44g C, 11g F, ₹28]</t>
        </is>
      </c>
      <c r="F141" s="11" t="inlineStr">
        <is>
          <t>Vegetable Poha (180g) + 1 glass warm toned milk (150ml) [310 kcal, 11g P, 48g C, 8g F, ₹24]</t>
        </is>
      </c>
      <c r="G141" s="11" t="inlineStr">
        <is>
          <t>Rolled Oats cooked in milk (40g oats + 180ml toned milk) with half diced apple [290 kcal, 12g P, 45g C, 6g F, ₹30]</t>
        </is>
      </c>
      <c r="H141" s="11" t="inlineStr">
        <is>
          <t>Spiced Majjige / Buttermilk (220ml) with grated ginger &amp; curry leaves [45 kcal, 3g P, 4g C, 1.5g F, ₹15] | Alt: 1 Crisp Guava or Apple (130g) with pinch of rock salt [75 kcal, 1.5g P, 18g C, 0.5g F, ₹20]</t>
        </is>
      </c>
      <c r="I141" s="11" t="inlineStr">
        <is>
          <t>2 Soft Phulkas (80g) + 2 Boiled Eggs in Onion-Tomato Gravy (120g gravy) + Ridge Gourd (Heerekayi) Palya (140g) [450 kcal, 22g P, 48g C, 17g F, ₹45]</t>
        </is>
      </c>
      <c r="J141" s="11" t="inlineStr">
        <is>
          <t>Sona Masoori Rice (150g) + Fish Curry (120g rohu/pomfret in light coconut gravy) + Beans Poriyal (120g) [460 kcal, 32g P, 46g C, 13g F, ₹80]</t>
        </is>
      </c>
      <c r="K141" s="11" t="inlineStr">
        <is>
          <t>Cooked Rice (150g) + Mixed Vegetable Sambar (180g) + Pan-seared Tofu or Paneer (80g) + Cucumber Slices [465 kcal, 21g P, 52g C, 17g F, ₹55]</t>
        </is>
      </c>
      <c r="L141" s="11" t="inlineStr">
        <is>
          <t>Boiled Sweet Corn (120g) with lemon squeeze &amp; chaat masala [120 kcal, 4g P, 24g C, 1.5g F, ₹20] | Alt: Roasted Kadale / Chana (30g) + Warm Elaichi Green Tea [125 kcal, 6g P, 18g C, 2.5g F, ₹15]</t>
        </is>
      </c>
      <c r="M141" s="11" t="inlineStr">
        <is>
          <t>2 Soft Phulkas (75g) + Fresh Paneer Bhurji (90g paneer, capsicum, tomato) + Warm Tomato Rasam (150ml) [445 kcal, 21g P, 44g C, 19g F, ₹60]</t>
        </is>
      </c>
      <c r="N141" s="11" t="inlineStr">
        <is>
          <t>2 Ragi Rotis (130g) + Chicken Curry (90g cooked meat) + Onion Cucumber Raita (80g) [430 kcal, 30g P, 46g C, 11g F, ₹70]</t>
        </is>
      </c>
      <c r="O141" s="11" t="inlineStr">
        <is>
          <t>Moong Dal Vegetable Dalia Khichdi (220g) + Fresh Curd (100g) [390 kcal, 16g P, 54g C, 9g F, ₹35]</t>
        </is>
      </c>
      <c r="P141" s="11" t="inlineStr">
        <is>
          <t>Optional Pre: 2 Medjool dates [80 kcal] • Post: 1 boiled egg white or 100g warm milk [55 kcal, 4g P]</t>
        </is>
      </c>
      <c r="Q141" s="12" t="n">
        <v>1390</v>
      </c>
      <c r="R141" s="12" t="n">
        <v>63</v>
      </c>
      <c r="S141" s="12" t="n">
        <v>164</v>
      </c>
      <c r="T141" s="12" t="n">
        <v>50</v>
      </c>
      <c r="U141" s="12" t="n">
        <v>168</v>
      </c>
      <c r="V141" s="11" t="inlineStr">
        <is>
          <t>Rinse thick poha in colander, drain well. Sauté with onion, curry leaves, carrots &amp; roasted peanuts. Prick boiled eggs gently before simmering in gravy to absorb rich flavours.</t>
        </is>
      </c>
    </row>
    <row r="142" ht="36" customHeight="1">
      <c r="A142" s="7" t="inlineStr">
        <is>
          <t>2027-03-13</t>
        </is>
      </c>
      <c r="B142" s="7" t="n">
        <v>141</v>
      </c>
      <c r="C142" s="7" t="inlineStr">
        <is>
          <t>Saturday</t>
        </is>
      </c>
      <c r="D142" s="8" t="inlineStr">
        <is>
          <t>Bengaluru Rava Upma &amp; Fresh Coastal Home Curry</t>
        </is>
      </c>
      <c r="E142" s="8" t="inlineStr">
        <is>
          <t>Bengaluru Vegetable Rava Upma (180g cooked) with roasted peanuts + 1 Boiled Egg [340 kcal, 14g P, 44g C, 12g F, ₹26]</t>
        </is>
      </c>
      <c r="F142" s="8" t="inlineStr">
        <is>
          <t>Vegetable Upma (180g) + 1 glass warm toned milk (150ml) [320 kcal, 11g P, 48g C, 9g F, ₹24]</t>
        </is>
      </c>
      <c r="G142" s="8" t="inlineStr">
        <is>
          <t>Steamed Idlis (3 pcs) with Mint Toor Dal Chutney (40g) + 1 Boiled Egg [320 kcal, 15g P, 42g C, 9g F, ₹28]</t>
        </is>
      </c>
      <c r="H142" s="8" t="inlineStr">
        <is>
          <t>Fresh Fruit Bowl (150g watermelon or papaya) + 6 soaked almonds [110 kcal, 3g P, 22g C, 3g F, ₹30] | Alt: Tender Coconut Water (220ml) [45 kcal, 1g P, 10g C, 0g F, ₹35]</t>
        </is>
      </c>
      <c r="I142" s="8" t="inlineStr">
        <is>
          <t>Sona Masoori Rice (150g cooked) + Bengaluru Fish Curry (120g fresh fish in light gravy) + Cabbage &amp; Pea Poriyal (130g) + Rasam [450 kcal, 33g P, 46g C, 13g F, ₹80]</t>
        </is>
      </c>
      <c r="J142" s="8" t="inlineStr">
        <is>
          <t>2 Phulkas (80g) + Chicken Curry (95g cooked meat) + Cucumber Carrot Salad (100g) [440 kcal, 31g P, 44g C, 13g F, ₹65]</t>
        </is>
      </c>
      <c r="K142" s="8" t="inlineStr">
        <is>
          <t>Rice (150g) + Thick Chana Dal (180g) + Beans Palya (130g) + Fresh Curd (100g) [470 kcal, 22g P, 56g C, 15g F, ₹45]</t>
        </is>
      </c>
      <c r="L142" s="8" t="inlineStr">
        <is>
          <t>Roasted Puri Kadale / Chana (30g) + Warm Ginger Tea (100ml low-fat milk) [140 kcal, 6g P, 20g C, 3.5g F, ₹18] | Alt: Spiced Boiled Moong Sprouts (80g) with lime &amp; salt [110 kcal, 7g P, 18g C, 1g F, ₹15]</t>
        </is>
      </c>
      <c r="M142" s="8" t="inlineStr">
        <is>
          <t>2 Soft Phulkas (75g) + Soya Chunks &amp; Green Pea Curry (45g dry soya + 50g peas) + Fresh Curd (80g) [420 kcal, 29g P, 48g C, 9g F, ₹40]</t>
        </is>
      </c>
      <c r="N142" s="8" t="inlineStr">
        <is>
          <t>2 Phulkas (75g) + 2 Boiled Eggs in Homestyle Curry (100g) + Sliced Cucumber [410 kcal, 21g P, 42g C, 15g F, ₹38]</t>
        </is>
      </c>
      <c r="O142" s="8" t="inlineStr">
        <is>
          <t>2 Ragi Rotis (120g) + Mixed Vegetable Sambar (180ml) + Sautéed Palak (100g) [380 kcal, 14g P, 54g C, 8g F, ₹30]</t>
        </is>
      </c>
      <c r="P142" s="8" t="inlineStr">
        <is>
          <t>Optional Pre: 1 cup tender coconut water [45 kcal] • Post: 1 glass warm milk (150ml) [85 kcal, 5g P]</t>
        </is>
      </c>
      <c r="Q142" s="9" t="n">
        <v>1460</v>
      </c>
      <c r="R142" s="9" t="n">
        <v>85</v>
      </c>
      <c r="S142" s="9" t="n">
        <v>180</v>
      </c>
      <c r="T142" s="9" t="n">
        <v>40.5</v>
      </c>
      <c r="U142" s="9" t="n">
        <v>194</v>
      </c>
      <c r="V142" s="8" t="inlineStr">
        <is>
          <t>Dry roast semolina lightly. Tempered with mustard seeds, chana dal, green chillies &amp; mixed veggies. Use fresh local fish cuts (rohu, pomfret, or seer fish). Simmer gently for 8 mins.</t>
        </is>
      </c>
    </row>
    <row r="143" ht="36" customHeight="1">
      <c r="A143" s="10" t="inlineStr">
        <is>
          <t>2027-03-14</t>
        </is>
      </c>
      <c r="B143" s="10" t="n">
        <v>142</v>
      </c>
      <c r="C143" s="10" t="inlineStr">
        <is>
          <t>Sunday</t>
        </is>
      </c>
      <c r="D143" s="11" t="inlineStr">
        <is>
          <t>Nourishing Rolled Oats &amp; Tender Chicken Palya</t>
        </is>
      </c>
      <c r="E143" s="11" t="inlineStr">
        <is>
          <t>Warm Rolled Oats (40g dry + 180ml toned milk) + 1 Boiled Egg + Apple slices (50g) [345 kcal, 18g P, 46g C, 10g F, ₹35]</t>
        </is>
      </c>
      <c r="F143" s="11" t="inlineStr">
        <is>
          <t>Vegetable Poha (160g cooked) + 2 Boiled Eggs [360 kcal, 18g P, 42g C, 14g F, ₹32]</t>
        </is>
      </c>
      <c r="G143" s="11" t="inlineStr">
        <is>
          <t>2 Plain Dosas (120g) + Toor Dal Sambar (150ml) + 1 cup warm sprouted moong [330 kcal, 14g P, 48g C, 7g F, ₹25]</t>
        </is>
      </c>
      <c r="H143" s="11" t="inlineStr">
        <is>
          <t>Tender Coconut Water (220ml) + 5 Soaked Almonds [95 kcal, 3g P, 12g C, 4g F, ₹40] | Alt: Fresh Spiced Buttermilk (220ml) with coriander &amp; rock salt [45 kcal, 3g P, 4g C, 1.5g F, ₹15]</t>
        </is>
      </c>
      <c r="I143" s="11" t="inlineStr">
        <is>
          <t>Sona Masoori Rice (150g cooked) + Tender Chicken Curry (130g raw / 95g meat) + Palak (Spinach) Palya (140g) + Rasam [470 kcal, 35g P, 46g C, 13g F, ₹75]</t>
        </is>
      </c>
      <c r="J143" s="11" t="inlineStr">
        <is>
          <t>2 Soft Phulkas (80g) + Fresh Paneer Curry (85g paneer in light gravy) + French Beans Palya (120g) [450 kcal, 21g P, 44g C, 19g F, ₹55]</t>
        </is>
      </c>
      <c r="K143" s="11" t="inlineStr">
        <is>
          <t>Rice (150g) + Toor Dal Tadka (180g) + 2 Boiled Eggs + Beetroot Poriyal (120g) [460 kcal, 25g P, 52g C, 14g F, ₹42]</t>
        </is>
      </c>
      <c r="L143" s="11" t="inlineStr">
        <is>
          <t>Roasted Makhana (30g) + Hot Green Tea with lemon [130 kcal, 3g P, 21g C, 3.5g F, ₹25] | Alt: Boiled Chickpeas Sundal (70g) with mustard &amp; curry leaves [125 kcal, 6g P, 20g C, 2.5g F, ₹18]</t>
        </is>
      </c>
      <c r="M143" s="11" t="inlineStr">
        <is>
          <t>2 Soft Phulkas (75g) + 2 Boiled Eggs in Tomato Onion Curry + Cucumber Salad (100g) [415 kcal, 21g P, 42g C, 15g F, ₹38]</t>
        </is>
      </c>
      <c r="N143" s="11" t="inlineStr">
        <is>
          <t>2 Phulkas (75g) + Grilled Chicken Strips (100g cooked) + Mixed Sautéed Capsicum &amp; Onions [425 kcal, 32g P, 40g C, 11g F, ₹65]</t>
        </is>
      </c>
      <c r="O143" s="11" t="inlineStr">
        <is>
          <t>Warm Moong Dal Vegetable Khichdi (220g) + Fresh Curd (100g) [380 kcal, 15g P, 56g C, 8g F, ₹35]</t>
        </is>
      </c>
      <c r="P143" s="11" t="inlineStr">
        <is>
          <t>Optional Pre: 1 small banana [70 kcal] • Post: 1 cup warm turmeric milk [90 kcal, 6g P]</t>
        </is>
      </c>
      <c r="Q143" s="12" t="n">
        <v>1455</v>
      </c>
      <c r="R143" s="12" t="n">
        <v>80</v>
      </c>
      <c r="S143" s="12" t="n">
        <v>167</v>
      </c>
      <c r="T143" s="12" t="n">
        <v>45.5</v>
      </c>
      <c r="U143" s="12" t="n">
        <v>213</v>
      </c>
      <c r="V143" s="11" t="inlineStr">
        <is>
          <t>Cook oats in milk for 4 mins on medium flame. Stir in pinch of cinnamon powder. Weigh raw boneless chicken (130g). Steam spinach lightly with mustard tempering.</t>
        </is>
      </c>
    </row>
    <row r="144" ht="36" customHeight="1">
      <c r="A144" s="7" t="inlineStr">
        <is>
          <t>2027-03-15</t>
        </is>
      </c>
      <c r="B144" s="7" t="n">
        <v>143</v>
      </c>
      <c r="C144" s="7" t="inlineStr">
        <is>
          <t>Monday</t>
        </is>
      </c>
      <c r="D144" s="8" t="inlineStr">
        <is>
          <t>Calcium-Rich Ragi Dosa &amp; Fresh Country Egg Feast</t>
        </is>
      </c>
      <c r="E144" s="8" t="inlineStr">
        <is>
          <t>Ragi Dosa (2 medium, 120g) + Coconut Mint Chutney (30g) + 2 Boiled Eggs [350 kcal, 19g P, 40g C, 13g F, ₹35]</t>
        </is>
      </c>
      <c r="F144" s="8" t="inlineStr">
        <is>
          <t>Steamed Idlis (3 pcs, 110g) + Vegetable Sambar (150ml) + 1 Boiled Egg [310 kcal, 13g P, 44g C, 8g F, ₹25]</t>
        </is>
      </c>
      <c r="G144" s="8" t="inlineStr">
        <is>
          <t>Vegetable Upma (180g) + Warm Toned Milk (150ml) [320 kcal, 11g P, 48g C, 9g F, ₹22]</t>
        </is>
      </c>
      <c r="H144" s="8" t="inlineStr">
        <is>
          <t>Fresh Seasonal Fruit (1 Medium Apple or 150g Papaya) + 6 Almonds [115 kcal, 3g P, 22g C, 3.5g F, ₹30] | Alt: Tender Coconut Water (220ml) [45 kcal, 1g P, 10g C, 0g F, ₹35]</t>
        </is>
      </c>
      <c r="I144" s="8" t="inlineStr">
        <is>
          <t>2 Soft Phulkas (80g) + Homestyle Egg Curry (2 eggs) + Cabbage &amp; Carrot Poriyal (140g) + Rasam [445 kcal, 22g P, 48g C, 16g F, ₹42]</t>
        </is>
      </c>
      <c r="J144" s="8" t="inlineStr">
        <is>
          <t>Sona Masoori Rice (150g) + Bengaluru Chicken Curry (95g meat) + Beans Palya (120g) [475 kcal, 34g P, 48g C, 14g F, ₹75]</t>
        </is>
      </c>
      <c r="K144" s="8" t="inlineStr">
        <is>
          <t>Rice (150g) + Thick Toor Dal Tadka (180g) + Fresh Curd (100g) + Tomato Cucumber Salad [440 kcal, 18g P, 56g C, 14g F, ₹40]</t>
        </is>
      </c>
      <c r="L144" s="8" t="inlineStr">
        <is>
          <t>Spiced Boiled Sundal / Chickpeas (80g) with lime [140 kcal, 7g P, 22g C, 3g F, ₹20] | Alt: Roasted Makhana (30g) in 1/2 tsp ghee &amp; rock salt [130 kcal, 3g P, 21g C, 3.5g F, ₹25]</t>
        </is>
      </c>
      <c r="M144" s="8" t="inlineStr">
        <is>
          <t>2 Soft Phulkas (75g) + Home Chicken Curry (100g meat) + Cucumber Salad (100g) [420 kcal, 31g P, 42g C, 12g F, ₹65]</t>
        </is>
      </c>
      <c r="N144" s="8" t="inlineStr">
        <is>
          <t>2 Phulkas (75g) + Fresh Paneer Bhurji (90g paneer, capsicum, onion) + Clear Soup [440 kcal, 20g P, 42g C, 20g F, ₹55]</t>
        </is>
      </c>
      <c r="O144" s="8" t="inlineStr">
        <is>
          <t>Rice-Moong Dal Khichdi (220g) + Curd (100g) + Lauki Sabzi (120g) [385 kcal, 14g P, 58g C, 8.5g F, ₹35]</t>
        </is>
      </c>
      <c r="P144" s="8" t="inlineStr">
        <is>
          <t>Optional Pre: 1 cup tender coconut water [45 kcal] • Post: 1 glass warm milk (150ml) [85 kcal, 5g P]</t>
        </is>
      </c>
      <c r="Q144" s="9" t="n">
        <v>1470</v>
      </c>
      <c r="R144" s="9" t="n">
        <v>82</v>
      </c>
      <c r="S144" s="9" t="n">
        <v>174</v>
      </c>
      <c r="T144" s="9" t="n">
        <v>47.5</v>
      </c>
      <c r="U144" s="9" t="n">
        <v>192</v>
      </c>
      <c r="V144" s="8" t="inlineStr">
        <is>
          <t>Mix ragi flour with equal water, pinch of salt, cumin seeds &amp; chopped onion. Pour on medium hot tawa. Cook vegetables in minimum oil with mustard seeds, curry leaves &amp; grated fresh coconut.</t>
        </is>
      </c>
    </row>
    <row r="145" ht="36" customHeight="1">
      <c r="A145" s="10" t="inlineStr">
        <is>
          <t>2027-03-16</t>
        </is>
      </c>
      <c r="B145" s="10" t="n">
        <v>144</v>
      </c>
      <c r="C145" s="10" t="inlineStr">
        <is>
          <t>Tuesday</t>
        </is>
      </c>
      <c r="D145" s="11" t="inlineStr">
        <is>
          <t>High-Fiber Soya Chunks &amp; Comfort Idli Sambar</t>
        </is>
      </c>
      <c r="E145" s="11" t="inlineStr">
        <is>
          <t>Steamed Idlis (3 pcs, 110g) + Vegetable Sambar (150ml) + 2 Boiled Eggs [340 kcal, 19g P, 38g C, 12g F, ₹35]</t>
        </is>
      </c>
      <c r="F145" s="11" t="inlineStr">
        <is>
          <t>Vegetable Poha (160g cooked) + 1 Boiled Egg [310 kcal, 12g P, 44g C, 9g F, ₹26]</t>
        </is>
      </c>
      <c r="G145" s="11" t="inlineStr">
        <is>
          <t>Rolled Oats cooked in toned milk (40g + 180ml milk) with 1/2 apple [290 kcal, 12g P, 45g C, 6g F, ₹30]</t>
        </is>
      </c>
      <c r="H145" s="11" t="inlineStr">
        <is>
          <t>Spiced Buttermilk / Majjige (220ml) with curry leaves &amp; ginger [45 kcal, 3g P, 4g C, 1.5g F, ₹15] | Alt: Fresh Papaya slices (150g) + 5 almonds [110 kcal, 3g P, 22g C, 3g F, ₹28]</t>
        </is>
      </c>
      <c r="I145" s="11" t="inlineStr">
        <is>
          <t>Sona Masoori Rice (150g cooked) + Soya Chunks Curry (45g dry soya chunks cooked in onion-tomato gravy) + French Beans Palya (130g) + Rasam [460 kcal, 31g P, 56g C, 9g F, ₹42]</t>
        </is>
      </c>
      <c r="J145" s="11" t="inlineStr">
        <is>
          <t>2 Phulkas (80g) + Chicken Curry (95g meat) + Cabbage Poriyal (120g) [440 kcal, 31g P, 44g C, 13g F, ₹65]</t>
        </is>
      </c>
      <c r="K145" s="11" t="inlineStr">
        <is>
          <t>Rice (150g) + Thick Toor Dal (180g) + 2 Boiled Eggs + Ridge Gourd Palya (120g) [455 kcal, 24g P, 52g C, 14g F, ₹40]</t>
        </is>
      </c>
      <c r="L145" s="11" t="inlineStr">
        <is>
          <t>Roasted Kadale / Chana (30g) + Hot Elaichi Tea (100ml milk) [140 kcal, 6g P, 20g C, 3.5g F, ₹18] | Alt: Roasted Makhana (30g) in ghee &amp; rock salt [130 kcal, 3g P, 21g C, 3.5g F, ₹25]</t>
        </is>
      </c>
      <c r="M145" s="11" t="inlineStr">
        <is>
          <t>2 Soft Phulkas (75g) + 2 Boiled Eggs in Mild Curry + Cucumber Carrot Salad (120g) [415 kcal, 21g P, 42g C, 15g F, ₹38]</t>
        </is>
      </c>
      <c r="N145" s="11" t="inlineStr">
        <is>
          <t>2 Phulkas (75g) + Paneer Bhurji (90g paneer, capsicum, tomato) + Warm Soup [445 kcal, 20g P, 44g C, 19g F, ₹58]</t>
        </is>
      </c>
      <c r="O145" s="11" t="inlineStr">
        <is>
          <t>2 Ragi Rotis (120g) + Chicken Curry (90g meat) + Cucumber Slices [425 kcal, 30g P, 46g C, 11g F, ₹68]</t>
        </is>
      </c>
      <c r="P145" s="11" t="inlineStr">
        <is>
          <t>Optional Pre: 1 small banana [70 kcal] • Post: 1 glass warm milk [90 kcal, 6g P]</t>
        </is>
      </c>
      <c r="Q145" s="12" t="n">
        <v>1400</v>
      </c>
      <c r="R145" s="12" t="n">
        <v>80</v>
      </c>
      <c r="S145" s="12" t="n">
        <v>160</v>
      </c>
      <c r="T145" s="12" t="n">
        <v>41</v>
      </c>
      <c r="U145" s="12" t="n">
        <v>151</v>
      </c>
      <c r="V145" s="11" t="inlineStr">
        <is>
          <t>Dip idlis in piping hot sambar. Eggs provide complete amino acid profile. Soak soya chunks in warm water for 15 mins. Squeeze out bitter water completely before cooking.</t>
        </is>
      </c>
    </row>
    <row r="146" ht="36" customHeight="1">
      <c r="A146" s="7" t="inlineStr">
        <is>
          <t>2027-03-17</t>
        </is>
      </c>
      <c r="B146" s="7" t="n">
        <v>145</v>
      </c>
      <c r="C146" s="7" t="inlineStr">
        <is>
          <t>Wednesday</t>
        </is>
      </c>
      <c r="D146" s="8" t="inlineStr">
        <is>
          <t>Comfort Steamed Staples &amp; Bengaluru Chicken Curry</t>
        </is>
      </c>
      <c r="E146" s="8" t="inlineStr">
        <is>
          <t>Steamed Idlis (3 pcs, 110g) + Veg Sambar (150ml) + 2 Boiled Eggs (100g) [340 kcal, 19g P, 38g C, 12g F, ₹35]</t>
        </is>
      </c>
      <c r="F146" s="8" t="inlineStr">
        <is>
          <t>Steamed Idlis (3 pcs) + Veg Sambar + 1 cup warm sprouted moong salad (100g) [310 kcal, 13g P, 46g C, 5g F, ₹25]</t>
        </is>
      </c>
      <c r="G146" s="8" t="inlineStr">
        <is>
          <t>Ragi Dosa (2 medium, 120g) + Mint Chutney (30g) + 1 Boiled Egg [320 kcal, 14g P, 42g C, 11g F, ₹28]</t>
        </is>
      </c>
      <c r="H146" s="8" t="inlineStr">
        <is>
          <t>Tender Coconut Water (220ml) + Handful Roasted Chana (25g) [130 kcal, 5g P, 22g C, 2g F, ₹40] | Alt: Fresh Papaya slices (150g) + 5 soaked almonds [110 kcal, 3g P, 22g C, 3g F, ₹30]</t>
        </is>
      </c>
      <c r="I146" s="8" t="inlineStr">
        <is>
          <t>Sona Masoori Rice (150g cooked / 55g raw) + Bengaluru Chicken Curry (130g raw / 95g cooked meat) + French Beans Palya (130g) + Pepper Rasam [475 kcal, 34g P, 48g C, 14g F, ₹75]</t>
        </is>
      </c>
      <c r="J146" s="8" t="inlineStr">
        <is>
          <t>2 Soft Wheat Phulkas (80g) + Homestyle Egg Curry (2 eggs in onion-tomato gravy) + Cabbage Poriyal (140g) [440 kcal, 21g P, 48g C, 16g F, ₹40]</t>
        </is>
      </c>
      <c r="K146" s="8" t="inlineStr">
        <is>
          <t>Sona Masoori Rice (150g) + Thick Toor Dal Tadka (180g) + Paneer Palya (80g paneer) + Fresh Curd (100g) [480 kcal, 23g P, 54g C, 18g F, ₹55]</t>
        </is>
      </c>
      <c r="L146" s="8" t="inlineStr">
        <is>
          <t>Spiced Boiled Sundal / Chickpeas (80g) with mustard tempering &amp; lemon [140 kcal, 7g P, 22g C, 3g F, ₹20] | Alt: Roasted Makhana (30g) in 1/2 tsp ghee &amp; rock salt [130 kcal, 3g P, 21g C, 3.5g F, ₹25]</t>
        </is>
      </c>
      <c r="M146" s="8" t="inlineStr">
        <is>
          <t>2 Soft Whole Wheat Phulkas (75g) + Grilled/Pan Chicken Curry (100g meat) + Cucumber Tomato Salad (120g) [420 kcal, 31g P, 42g C, 12g F, ₹65]</t>
        </is>
      </c>
      <c r="N146" s="8" t="inlineStr">
        <is>
          <t>2 Phulkas (75g) + Fresh Paneer Bhurji (90g paneer with capsicum &amp; onion) + Tomato Clear Soup [440 kcal, 20g P, 42g C, 20g F, ₹55]</t>
        </is>
      </c>
      <c r="O146" s="8" t="inlineStr">
        <is>
          <t>Warm Rice-Moong Dal Khichdi (220g) + Fresh Curd (100g) + Steamed Beetroot Poriyal (100g) [380 kcal, 14g P, 58g C, 8g F, ₹35]</t>
        </is>
      </c>
      <c r="P146" s="8" t="inlineStr">
        <is>
          <t>Optional Pre: 1 small banana (80g) [70 kcal] • Post: 1 glass warm toned milk with turmeric (180ml) [95 kcal, 6g P]</t>
        </is>
      </c>
      <c r="Q146" s="9" t="n">
        <v>1505</v>
      </c>
      <c r="R146" s="9" t="n">
        <v>96</v>
      </c>
      <c r="S146" s="9" t="n">
        <v>172</v>
      </c>
      <c r="T146" s="9" t="n">
        <v>43</v>
      </c>
      <c r="U146" s="9" t="n">
        <v>235</v>
      </c>
      <c r="V146" s="8" t="inlineStr">
        <is>
          <t>Steam idlis in idli cooker for 10-12 mins. Weigh 110g cooked on kitchen scale. Zero plate on scale, measure 150g warm rice, then add 95g cooked chicken meat without bones.</t>
        </is>
      </c>
    </row>
    <row r="147" ht="36" customHeight="1">
      <c r="A147" s="10" t="inlineStr">
        <is>
          <t>2027-03-18</t>
        </is>
      </c>
      <c r="B147" s="10" t="n">
        <v>146</v>
      </c>
      <c r="C147" s="10" t="inlineStr">
        <is>
          <t>Thursday</t>
        </is>
      </c>
      <c r="D147" s="11" t="inlineStr">
        <is>
          <t>Iron-Rich Poha, Egg Curry &amp; Golden Turmeric Phulkas</t>
        </is>
      </c>
      <c r="E147" s="11" t="inlineStr">
        <is>
          <t>Vegetable Poha (160g cooked) tempered with mustard &amp; roasted peanuts (15g) + 1 Boiled Egg [330 kcal, 13g P, 44g C, 11g F, ₹28]</t>
        </is>
      </c>
      <c r="F147" s="11" t="inlineStr">
        <is>
          <t>Vegetable Poha (180g) + 1 glass warm toned milk (150ml) [310 kcal, 11g P, 48g C, 8g F, ₹24]</t>
        </is>
      </c>
      <c r="G147" s="11" t="inlineStr">
        <is>
          <t>Rolled Oats cooked in milk (40g oats + 180ml toned milk) with half diced apple [290 kcal, 12g P, 45g C, 6g F, ₹30]</t>
        </is>
      </c>
      <c r="H147" s="11" t="inlineStr">
        <is>
          <t>Spiced Majjige / Buttermilk (220ml) with grated ginger &amp; curry leaves [45 kcal, 3g P, 4g C, 1.5g F, ₹15] | Alt: 1 Crisp Guava or Apple (130g) with pinch of rock salt [75 kcal, 1.5g P, 18g C, 0.5g F, ₹20]</t>
        </is>
      </c>
      <c r="I147" s="11" t="inlineStr">
        <is>
          <t>2 Soft Phulkas (80g) + 2 Boiled Eggs in Onion-Tomato Gravy (120g gravy) + Ridge Gourd (Heerekayi) Palya (140g) [450 kcal, 22g P, 48g C, 17g F, ₹45]</t>
        </is>
      </c>
      <c r="J147" s="11" t="inlineStr">
        <is>
          <t>Sona Masoori Rice (150g) + Fish Curry (120g rohu/pomfret in light coconut gravy) + Beans Poriyal (120g) [460 kcal, 32g P, 46g C, 13g F, ₹80]</t>
        </is>
      </c>
      <c r="K147" s="11" t="inlineStr">
        <is>
          <t>Cooked Rice (150g) + Mixed Vegetable Sambar (180g) + Pan-seared Tofu or Paneer (80g) + Cucumber Slices [465 kcal, 21g P, 52g C, 17g F, ₹55]</t>
        </is>
      </c>
      <c r="L147" s="11" t="inlineStr">
        <is>
          <t>Boiled Sweet Corn (120g) with lemon squeeze &amp; chaat masala [120 kcal, 4g P, 24g C, 1.5g F, ₹20] | Alt: Roasted Kadale / Chana (30g) + Warm Elaichi Green Tea [125 kcal, 6g P, 18g C, 2.5g F, ₹15]</t>
        </is>
      </c>
      <c r="M147" s="11" t="inlineStr">
        <is>
          <t>2 Soft Phulkas (75g) + Fresh Paneer Bhurji (90g paneer, capsicum, tomato) + Warm Tomato Rasam (150ml) [445 kcal, 21g P, 44g C, 19g F, ₹60]</t>
        </is>
      </c>
      <c r="N147" s="11" t="inlineStr">
        <is>
          <t>2 Ragi Rotis (130g) + Chicken Curry (90g cooked meat) + Onion Cucumber Raita (80g) [430 kcal, 30g P, 46g C, 11g F, ₹70]</t>
        </is>
      </c>
      <c r="O147" s="11" t="inlineStr">
        <is>
          <t>Moong Dal Vegetable Dalia Khichdi (220g) + Fresh Curd (100g) [390 kcal, 16g P, 54g C, 9g F, ₹35]</t>
        </is>
      </c>
      <c r="P147" s="11" t="inlineStr">
        <is>
          <t>Optional Pre: 2 Medjool dates [80 kcal] • Post: 1 boiled egg white or 100g warm milk [55 kcal, 4g P]</t>
        </is>
      </c>
      <c r="Q147" s="12" t="n">
        <v>1390</v>
      </c>
      <c r="R147" s="12" t="n">
        <v>63</v>
      </c>
      <c r="S147" s="12" t="n">
        <v>164</v>
      </c>
      <c r="T147" s="12" t="n">
        <v>50</v>
      </c>
      <c r="U147" s="12" t="n">
        <v>168</v>
      </c>
      <c r="V147" s="11" t="inlineStr">
        <is>
          <t>Rinse thick poha in colander, drain well. Sauté with onion, curry leaves, carrots &amp; roasted peanuts. Prick boiled eggs gently before simmering in gravy to absorb rich flavours.</t>
        </is>
      </c>
    </row>
    <row r="148" ht="36" customHeight="1">
      <c r="A148" s="7" t="inlineStr">
        <is>
          <t>2027-03-19</t>
        </is>
      </c>
      <c r="B148" s="7" t="n">
        <v>147</v>
      </c>
      <c r="C148" s="7" t="inlineStr">
        <is>
          <t>Friday</t>
        </is>
      </c>
      <c r="D148" s="8" t="inlineStr">
        <is>
          <t>Bengaluru Rava Upma &amp; Fresh Coastal Home Curry</t>
        </is>
      </c>
      <c r="E148" s="8" t="inlineStr">
        <is>
          <t>Bengaluru Vegetable Rava Upma (180g cooked) with roasted peanuts + 1 Boiled Egg [340 kcal, 14g P, 44g C, 12g F, ₹26]</t>
        </is>
      </c>
      <c r="F148" s="8" t="inlineStr">
        <is>
          <t>Vegetable Upma (180g) + 1 glass warm toned milk (150ml) [320 kcal, 11g P, 48g C, 9g F, ₹24]</t>
        </is>
      </c>
      <c r="G148" s="8" t="inlineStr">
        <is>
          <t>Steamed Idlis (3 pcs) with Mint Toor Dal Chutney (40g) + 1 Boiled Egg [320 kcal, 15g P, 42g C, 9g F, ₹28]</t>
        </is>
      </c>
      <c r="H148" s="8" t="inlineStr">
        <is>
          <t>Fresh Fruit Bowl (150g watermelon or papaya) + 6 soaked almonds [110 kcal, 3g P, 22g C, 3g F, ₹30] | Alt: Tender Coconut Water (220ml) [45 kcal, 1g P, 10g C, 0g F, ₹35]</t>
        </is>
      </c>
      <c r="I148" s="8" t="inlineStr">
        <is>
          <t>Sona Masoori Rice (150g cooked) + Bengaluru Fish Curry (120g fresh fish in light gravy) + Cabbage &amp; Pea Poriyal (130g) + Rasam [450 kcal, 33g P, 46g C, 13g F, ₹80]</t>
        </is>
      </c>
      <c r="J148" s="8" t="inlineStr">
        <is>
          <t>2 Phulkas (80g) + Chicken Curry (95g cooked meat) + Cucumber Carrot Salad (100g) [440 kcal, 31g P, 44g C, 13g F, ₹65]</t>
        </is>
      </c>
      <c r="K148" s="8" t="inlineStr">
        <is>
          <t>Rice (150g) + Thick Chana Dal (180g) + Beans Palya (130g) + Fresh Curd (100g) [470 kcal, 22g P, 56g C, 15g F, ₹45]</t>
        </is>
      </c>
      <c r="L148" s="8" t="inlineStr">
        <is>
          <t>Roasted Puri Kadale / Chana (30g) + Warm Ginger Tea (100ml low-fat milk) [140 kcal, 6g P, 20g C, 3.5g F, ₹18] | Alt: Spiced Boiled Moong Sprouts (80g) with lime &amp; salt [110 kcal, 7g P, 18g C, 1g F, ₹15]</t>
        </is>
      </c>
      <c r="M148" s="8" t="inlineStr">
        <is>
          <t>2 Soft Phulkas (75g) + Soya Chunks &amp; Green Pea Curry (45g dry soya + 50g peas) + Fresh Curd (80g) [420 kcal, 29g P, 48g C, 9g F, ₹40]</t>
        </is>
      </c>
      <c r="N148" s="8" t="inlineStr">
        <is>
          <t>2 Phulkas (75g) + 2 Boiled Eggs in Homestyle Curry (100g) + Sliced Cucumber [410 kcal, 21g P, 42g C, 15g F, ₹38]</t>
        </is>
      </c>
      <c r="O148" s="8" t="inlineStr">
        <is>
          <t>2 Ragi Rotis (120g) + Mixed Vegetable Sambar (180ml) + Sautéed Palak (100g) [380 kcal, 14g P, 54g C, 8g F, ₹30]</t>
        </is>
      </c>
      <c r="P148" s="8" t="inlineStr">
        <is>
          <t>Optional Pre: 1 cup tender coconut water [45 kcal] • Post: 1 glass warm milk (150ml) [85 kcal, 5g P]</t>
        </is>
      </c>
      <c r="Q148" s="9" t="n">
        <v>1460</v>
      </c>
      <c r="R148" s="9" t="n">
        <v>85</v>
      </c>
      <c r="S148" s="9" t="n">
        <v>180</v>
      </c>
      <c r="T148" s="9" t="n">
        <v>40.5</v>
      </c>
      <c r="U148" s="9" t="n">
        <v>194</v>
      </c>
      <c r="V148" s="8" t="inlineStr">
        <is>
          <t>Dry roast semolina lightly. Tempered with mustard seeds, chana dal, green chillies &amp; mixed veggies. Use fresh local fish cuts (rohu, pomfret, or seer fish). Simmer gently for 8 mins.</t>
        </is>
      </c>
    </row>
    <row r="149" ht="36" customHeight="1">
      <c r="A149" s="10" t="inlineStr">
        <is>
          <t>2027-03-20</t>
        </is>
      </c>
      <c r="B149" s="10" t="n">
        <v>148</v>
      </c>
      <c r="C149" s="10" t="inlineStr">
        <is>
          <t>Saturday</t>
        </is>
      </c>
      <c r="D149" s="11" t="inlineStr">
        <is>
          <t>Nourishing Rolled Oats &amp; Tender Chicken Palya</t>
        </is>
      </c>
      <c r="E149" s="11" t="inlineStr">
        <is>
          <t>Warm Rolled Oats (40g dry + 180ml toned milk) + 1 Boiled Egg + Apple slices (50g) [345 kcal, 18g P, 46g C, 10g F, ₹35]</t>
        </is>
      </c>
      <c r="F149" s="11" t="inlineStr">
        <is>
          <t>Vegetable Poha (160g cooked) + 2 Boiled Eggs [360 kcal, 18g P, 42g C, 14g F, ₹32]</t>
        </is>
      </c>
      <c r="G149" s="11" t="inlineStr">
        <is>
          <t>2 Plain Dosas (120g) + Toor Dal Sambar (150ml) + 1 cup warm sprouted moong [330 kcal, 14g P, 48g C, 7g F, ₹25]</t>
        </is>
      </c>
      <c r="H149" s="11" t="inlineStr">
        <is>
          <t>Tender Coconut Water (220ml) + 5 Soaked Almonds [95 kcal, 3g P, 12g C, 4g F, ₹40] | Alt: Fresh Spiced Buttermilk (220ml) with coriander &amp; rock salt [45 kcal, 3g P, 4g C, 1.5g F, ₹15]</t>
        </is>
      </c>
      <c r="I149" s="11" t="inlineStr">
        <is>
          <t>Sona Masoori Rice (150g cooked) + Tender Chicken Curry (130g raw / 95g meat) + Palak (Spinach) Palya (140g) + Rasam [470 kcal, 35g P, 46g C, 13g F, ₹75]</t>
        </is>
      </c>
      <c r="J149" s="11" t="inlineStr">
        <is>
          <t>2 Soft Phulkas (80g) + Fresh Paneer Curry (85g paneer in light gravy) + French Beans Palya (120g) [450 kcal, 21g P, 44g C, 19g F, ₹55]</t>
        </is>
      </c>
      <c r="K149" s="11" t="inlineStr">
        <is>
          <t>Rice (150g) + Toor Dal Tadka (180g) + 2 Boiled Eggs + Beetroot Poriyal (120g) [460 kcal, 25g P, 52g C, 14g F, ₹42]</t>
        </is>
      </c>
      <c r="L149" s="11" t="inlineStr">
        <is>
          <t>Roasted Makhana (30g) + Hot Green Tea with lemon [130 kcal, 3g P, 21g C, 3.5g F, ₹25] | Alt: Boiled Chickpeas Sundal (70g) with mustard &amp; curry leaves [125 kcal, 6g P, 20g C, 2.5g F, ₹18]</t>
        </is>
      </c>
      <c r="M149" s="11" t="inlineStr">
        <is>
          <t>2 Soft Phulkas (75g) + 2 Boiled Eggs in Tomato Onion Curry + Cucumber Salad (100g) [415 kcal, 21g P, 42g C, 15g F, ₹38]</t>
        </is>
      </c>
      <c r="N149" s="11" t="inlineStr">
        <is>
          <t>2 Phulkas (75g) + Grilled Chicken Strips (100g cooked) + Mixed Sautéed Capsicum &amp; Onions [425 kcal, 32g P, 40g C, 11g F, ₹65]</t>
        </is>
      </c>
      <c r="O149" s="11" t="inlineStr">
        <is>
          <t>Warm Moong Dal Vegetable Khichdi (220g) + Fresh Curd (100g) [380 kcal, 15g P, 56g C, 8g F, ₹35]</t>
        </is>
      </c>
      <c r="P149" s="11" t="inlineStr">
        <is>
          <t>Optional Pre: 1 small banana [70 kcal] • Post: 1 cup warm turmeric milk [90 kcal, 6g P]</t>
        </is>
      </c>
      <c r="Q149" s="12" t="n">
        <v>1455</v>
      </c>
      <c r="R149" s="12" t="n">
        <v>80</v>
      </c>
      <c r="S149" s="12" t="n">
        <v>167</v>
      </c>
      <c r="T149" s="12" t="n">
        <v>45.5</v>
      </c>
      <c r="U149" s="12" t="n">
        <v>213</v>
      </c>
      <c r="V149" s="11" t="inlineStr">
        <is>
          <t>Cook oats in milk for 4 mins on medium flame. Stir in pinch of cinnamon powder. Weigh raw boneless chicken (130g). Steam spinach lightly with mustard tempering.</t>
        </is>
      </c>
    </row>
    <row r="150" ht="36" customHeight="1">
      <c r="A150" s="7" t="inlineStr">
        <is>
          <t>2027-03-21</t>
        </is>
      </c>
      <c r="B150" s="7" t="n">
        <v>149</v>
      </c>
      <c r="C150" s="7" t="inlineStr">
        <is>
          <t>Sunday</t>
        </is>
      </c>
      <c r="D150" s="8" t="inlineStr">
        <is>
          <t>Calcium-Rich Ragi Dosa &amp; Fresh Country Egg Feast</t>
        </is>
      </c>
      <c r="E150" s="8" t="inlineStr">
        <is>
          <t>Ragi Dosa (2 medium, 120g) + Coconut Mint Chutney (30g) + 2 Boiled Eggs [350 kcal, 19g P, 40g C, 13g F, ₹35]</t>
        </is>
      </c>
      <c r="F150" s="8" t="inlineStr">
        <is>
          <t>Steamed Idlis (3 pcs, 110g) + Vegetable Sambar (150ml) + 1 Boiled Egg [310 kcal, 13g P, 44g C, 8g F, ₹25]</t>
        </is>
      </c>
      <c r="G150" s="8" t="inlineStr">
        <is>
          <t>Vegetable Upma (180g) + Warm Toned Milk (150ml) [320 kcal, 11g P, 48g C, 9g F, ₹22]</t>
        </is>
      </c>
      <c r="H150" s="8" t="inlineStr">
        <is>
          <t>Fresh Seasonal Fruit (1 Medium Apple or 150g Papaya) + 6 Almonds [115 kcal, 3g P, 22g C, 3.5g F, ₹30] | Alt: Tender Coconut Water (220ml) [45 kcal, 1g P, 10g C, 0g F, ₹35]</t>
        </is>
      </c>
      <c r="I150" s="8" t="inlineStr">
        <is>
          <t>2 Soft Phulkas (80g) + Homestyle Egg Curry (2 eggs) + Cabbage &amp; Carrot Poriyal (140g) + Rasam [445 kcal, 22g P, 48g C, 16g F, ₹42]</t>
        </is>
      </c>
      <c r="J150" s="8" t="inlineStr">
        <is>
          <t>Sona Masoori Rice (150g) + Bengaluru Chicken Curry (95g meat) + Beans Palya (120g) [475 kcal, 34g P, 48g C, 14g F, ₹75]</t>
        </is>
      </c>
      <c r="K150" s="8" t="inlineStr">
        <is>
          <t>Rice (150g) + Thick Toor Dal Tadka (180g) + Fresh Curd (100g) + Tomato Cucumber Salad [440 kcal, 18g P, 56g C, 14g F, ₹40]</t>
        </is>
      </c>
      <c r="L150" s="8" t="inlineStr">
        <is>
          <t>Spiced Boiled Sundal / Chickpeas (80g) with lime [140 kcal, 7g P, 22g C, 3g F, ₹20] | Alt: Roasted Makhana (30g) in 1/2 tsp ghee &amp; rock salt [130 kcal, 3g P, 21g C, 3.5g F, ₹25]</t>
        </is>
      </c>
      <c r="M150" s="8" t="inlineStr">
        <is>
          <t>2 Soft Phulkas (75g) + Home Chicken Curry (100g meat) + Cucumber Salad (100g) [420 kcal, 31g P, 42g C, 12g F, ₹65]</t>
        </is>
      </c>
      <c r="N150" s="8" t="inlineStr">
        <is>
          <t>2 Phulkas (75g) + Fresh Paneer Bhurji (90g paneer, capsicum, onion) + Clear Soup [440 kcal, 20g P, 42g C, 20g F, ₹55]</t>
        </is>
      </c>
      <c r="O150" s="8" t="inlineStr">
        <is>
          <t>Rice-Moong Dal Khichdi (220g) + Curd (100g) + Lauki Sabzi (120g) [385 kcal, 14g P, 58g C, 8.5g F, ₹35]</t>
        </is>
      </c>
      <c r="P150" s="8" t="inlineStr">
        <is>
          <t>Optional Pre: 1 cup tender coconut water [45 kcal] • Post: 1 glass warm milk (150ml) [85 kcal, 5g P]</t>
        </is>
      </c>
      <c r="Q150" s="9" t="n">
        <v>1470</v>
      </c>
      <c r="R150" s="9" t="n">
        <v>82</v>
      </c>
      <c r="S150" s="9" t="n">
        <v>174</v>
      </c>
      <c r="T150" s="9" t="n">
        <v>47.5</v>
      </c>
      <c r="U150" s="9" t="n">
        <v>192</v>
      </c>
      <c r="V150" s="8" t="inlineStr">
        <is>
          <t>Mix ragi flour with equal water, pinch of salt, cumin seeds &amp; chopped onion. Pour on medium hot tawa. Cook vegetables in minimum oil with mustard seeds, curry leaves &amp; grated fresh coconut.</t>
        </is>
      </c>
    </row>
    <row r="151" ht="36" customHeight="1">
      <c r="A151" s="10" t="inlineStr">
        <is>
          <t>2027-03-22</t>
        </is>
      </c>
      <c r="B151" s="10" t="n">
        <v>150</v>
      </c>
      <c r="C151" s="10" t="inlineStr">
        <is>
          <t>Monday</t>
        </is>
      </c>
      <c r="D151" s="11" t="inlineStr">
        <is>
          <t>High-Fiber Soya Chunks &amp; Comfort Idli Sambar</t>
        </is>
      </c>
      <c r="E151" s="11" t="inlineStr">
        <is>
          <t>Steamed Idlis (3 pcs, 110g) + Vegetable Sambar (150ml) + 2 Boiled Eggs [340 kcal, 19g P, 38g C, 12g F, ₹35]</t>
        </is>
      </c>
      <c r="F151" s="11" t="inlineStr">
        <is>
          <t>Vegetable Poha (160g cooked) + 1 Boiled Egg [310 kcal, 12g P, 44g C, 9g F, ₹26]</t>
        </is>
      </c>
      <c r="G151" s="11" t="inlineStr">
        <is>
          <t>Rolled Oats cooked in toned milk (40g + 180ml milk) with 1/2 apple [290 kcal, 12g P, 45g C, 6g F, ₹30]</t>
        </is>
      </c>
      <c r="H151" s="11" t="inlineStr">
        <is>
          <t>Spiced Buttermilk / Majjige (220ml) with curry leaves &amp; ginger [45 kcal, 3g P, 4g C, 1.5g F, ₹15] | Alt: Fresh Papaya slices (150g) + 5 almonds [110 kcal, 3g P, 22g C, 3g F, ₹28]</t>
        </is>
      </c>
      <c r="I151" s="11" t="inlineStr">
        <is>
          <t>Sona Masoori Rice (150g cooked) + Soya Chunks Curry (45g dry soya chunks cooked in onion-tomato gravy) + French Beans Palya (130g) + Rasam [460 kcal, 31g P, 56g C, 9g F, ₹42]</t>
        </is>
      </c>
      <c r="J151" s="11" t="inlineStr">
        <is>
          <t>2 Phulkas (80g) + Chicken Curry (95g meat) + Cabbage Poriyal (120g) [440 kcal, 31g P, 44g C, 13g F, ₹65]</t>
        </is>
      </c>
      <c r="K151" s="11" t="inlineStr">
        <is>
          <t>Rice (150g) + Thick Toor Dal (180g) + 2 Boiled Eggs + Ridge Gourd Palya (120g) [455 kcal, 24g P, 52g C, 14g F, ₹40]</t>
        </is>
      </c>
      <c r="L151" s="11" t="inlineStr">
        <is>
          <t>Roasted Kadale / Chana (30g) + Hot Elaichi Tea (100ml milk) [140 kcal, 6g P, 20g C, 3.5g F, ₹18] | Alt: Roasted Makhana (30g) in ghee &amp; rock salt [130 kcal, 3g P, 21g C, 3.5g F, ₹25]</t>
        </is>
      </c>
      <c r="M151" s="11" t="inlineStr">
        <is>
          <t>2 Soft Phulkas (75g) + 2 Boiled Eggs in Mild Curry + Cucumber Carrot Salad (120g) [415 kcal, 21g P, 42g C, 15g F, ₹38]</t>
        </is>
      </c>
      <c r="N151" s="11" t="inlineStr">
        <is>
          <t>2 Phulkas (75g) + Paneer Bhurji (90g paneer, capsicum, tomato) + Warm Soup [445 kcal, 20g P, 44g C, 19g F, ₹58]</t>
        </is>
      </c>
      <c r="O151" s="11" t="inlineStr">
        <is>
          <t>2 Ragi Rotis (120g) + Chicken Curry (90g meat) + Cucumber Slices [425 kcal, 30g P, 46g C, 11g F, ₹68]</t>
        </is>
      </c>
      <c r="P151" s="11" t="inlineStr">
        <is>
          <t>Optional Pre: 1 small banana [70 kcal] • Post: 1 glass warm milk [90 kcal, 6g P]</t>
        </is>
      </c>
      <c r="Q151" s="12" t="n">
        <v>1400</v>
      </c>
      <c r="R151" s="12" t="n">
        <v>80</v>
      </c>
      <c r="S151" s="12" t="n">
        <v>160</v>
      </c>
      <c r="T151" s="12" t="n">
        <v>41</v>
      </c>
      <c r="U151" s="12" t="n">
        <v>151</v>
      </c>
      <c r="V151" s="11" t="inlineStr">
        <is>
          <t>Dip idlis in piping hot sambar. Eggs provide complete amino acid profile. Soak soya chunks in warm water for 15 mins. Squeeze out bitter water completely before cooking.</t>
        </is>
      </c>
    </row>
    <row r="152" ht="36" customHeight="1">
      <c r="A152" s="7" t="inlineStr">
        <is>
          <t>2027-03-23</t>
        </is>
      </c>
      <c r="B152" s="7" t="n">
        <v>151</v>
      </c>
      <c r="C152" s="7" t="inlineStr">
        <is>
          <t>Tuesday</t>
        </is>
      </c>
      <c r="D152" s="8" t="inlineStr">
        <is>
          <t>Comfort Steamed Staples &amp; Bengaluru Chicken Curry</t>
        </is>
      </c>
      <c r="E152" s="8" t="inlineStr">
        <is>
          <t>Steamed Idlis (3 pcs, 110g) + Veg Sambar (150ml) + 2 Boiled Eggs (100g) [340 kcal, 19g P, 38g C, 12g F, ₹35]</t>
        </is>
      </c>
      <c r="F152" s="8" t="inlineStr">
        <is>
          <t>Steamed Idlis (3 pcs) + Veg Sambar + 1 cup warm sprouted moong salad (100g) [310 kcal, 13g P, 46g C, 5g F, ₹25]</t>
        </is>
      </c>
      <c r="G152" s="8" t="inlineStr">
        <is>
          <t>Ragi Dosa (2 medium, 120g) + Mint Chutney (30g) + 1 Boiled Egg [320 kcal, 14g P, 42g C, 11g F, ₹28]</t>
        </is>
      </c>
      <c r="H152" s="8" t="inlineStr">
        <is>
          <t>Tender Coconut Water (220ml) + Handful Roasted Chana (25g) [130 kcal, 5g P, 22g C, 2g F, ₹40] | Alt: Fresh Papaya slices (150g) + 5 soaked almonds [110 kcal, 3g P, 22g C, 3g F, ₹30]</t>
        </is>
      </c>
      <c r="I152" s="8" t="inlineStr">
        <is>
          <t>Sona Masoori Rice (150g cooked / 55g raw) + Bengaluru Chicken Curry (130g raw / 95g cooked meat) + French Beans Palya (130g) + Pepper Rasam [475 kcal, 34g P, 48g C, 14g F, ₹75]</t>
        </is>
      </c>
      <c r="J152" s="8" t="inlineStr">
        <is>
          <t>2 Soft Wheat Phulkas (80g) + Homestyle Egg Curry (2 eggs in onion-tomato gravy) + Cabbage Poriyal (140g) [440 kcal, 21g P, 48g C, 16g F, ₹40]</t>
        </is>
      </c>
      <c r="K152" s="8" t="inlineStr">
        <is>
          <t>Sona Masoori Rice (150g) + Thick Toor Dal Tadka (180g) + Paneer Palya (80g paneer) + Fresh Curd (100g) [480 kcal, 23g P, 54g C, 18g F, ₹55]</t>
        </is>
      </c>
      <c r="L152" s="8" t="inlineStr">
        <is>
          <t>Spiced Boiled Sundal / Chickpeas (80g) with mustard tempering &amp; lemon [140 kcal, 7g P, 22g C, 3g F, ₹20] | Alt: Roasted Makhana (30g) in 1/2 tsp ghee &amp; rock salt [130 kcal, 3g P, 21g C, 3.5g F, ₹25]</t>
        </is>
      </c>
      <c r="M152" s="8" t="inlineStr">
        <is>
          <t>2 Soft Whole Wheat Phulkas (75g) + Grilled/Pan Chicken Curry (100g meat) + Cucumber Tomato Salad (120g) [420 kcal, 31g P, 42g C, 12g F, ₹65]</t>
        </is>
      </c>
      <c r="N152" s="8" t="inlineStr">
        <is>
          <t>2 Phulkas (75g) + Fresh Paneer Bhurji (90g paneer with capsicum &amp; onion) + Tomato Clear Soup [440 kcal, 20g P, 42g C, 20g F, ₹55]</t>
        </is>
      </c>
      <c r="O152" s="8" t="inlineStr">
        <is>
          <t>Warm Rice-Moong Dal Khichdi (220g) + Fresh Curd (100g) + Steamed Beetroot Poriyal (100g) [380 kcal, 14g P, 58g C, 8g F, ₹35]</t>
        </is>
      </c>
      <c r="P152" s="8" t="inlineStr">
        <is>
          <t>Optional Pre: 1 small banana (80g) [70 kcal] • Post: 1 glass warm toned milk with turmeric (180ml) [95 kcal, 6g P]</t>
        </is>
      </c>
      <c r="Q152" s="9" t="n">
        <v>1505</v>
      </c>
      <c r="R152" s="9" t="n">
        <v>96</v>
      </c>
      <c r="S152" s="9" t="n">
        <v>172</v>
      </c>
      <c r="T152" s="9" t="n">
        <v>43</v>
      </c>
      <c r="U152" s="9" t="n">
        <v>235</v>
      </c>
      <c r="V152" s="8" t="inlineStr">
        <is>
          <t>Steam idlis in idli cooker for 10-12 mins. Weigh 110g cooked on kitchen scale. Zero plate on scale, measure 150g warm rice, then add 95g cooked chicken meat without bones.</t>
        </is>
      </c>
    </row>
    <row r="153" ht="36" customHeight="1">
      <c r="A153" s="10" t="inlineStr">
        <is>
          <t>2027-03-24</t>
        </is>
      </c>
      <c r="B153" s="10" t="n">
        <v>152</v>
      </c>
      <c r="C153" s="10" t="inlineStr">
        <is>
          <t>Wednesday</t>
        </is>
      </c>
      <c r="D153" s="11" t="inlineStr">
        <is>
          <t>Iron-Rich Poha, Egg Curry &amp; Golden Turmeric Phulkas</t>
        </is>
      </c>
      <c r="E153" s="11" t="inlineStr">
        <is>
          <t>Vegetable Poha (160g cooked) tempered with mustard &amp; roasted peanuts (15g) + 1 Boiled Egg [330 kcal, 13g P, 44g C, 11g F, ₹28]</t>
        </is>
      </c>
      <c r="F153" s="11" t="inlineStr">
        <is>
          <t>Vegetable Poha (180g) + 1 glass warm toned milk (150ml) [310 kcal, 11g P, 48g C, 8g F, ₹24]</t>
        </is>
      </c>
      <c r="G153" s="11" t="inlineStr">
        <is>
          <t>Rolled Oats cooked in milk (40g oats + 180ml toned milk) with half diced apple [290 kcal, 12g P, 45g C, 6g F, ₹30]</t>
        </is>
      </c>
      <c r="H153" s="11" t="inlineStr">
        <is>
          <t>Spiced Majjige / Buttermilk (220ml) with grated ginger &amp; curry leaves [45 kcal, 3g P, 4g C, 1.5g F, ₹15] | Alt: 1 Crisp Guava or Apple (130g) with pinch of rock salt [75 kcal, 1.5g P, 18g C, 0.5g F, ₹20]</t>
        </is>
      </c>
      <c r="I153" s="11" t="inlineStr">
        <is>
          <t>2 Soft Phulkas (80g) + 2 Boiled Eggs in Onion-Tomato Gravy (120g gravy) + Ridge Gourd (Heerekayi) Palya (140g) [450 kcal, 22g P, 48g C, 17g F, ₹45]</t>
        </is>
      </c>
      <c r="J153" s="11" t="inlineStr">
        <is>
          <t>Sona Masoori Rice (150g) + Fish Curry (120g rohu/pomfret in light coconut gravy) + Beans Poriyal (120g) [460 kcal, 32g P, 46g C, 13g F, ₹80]</t>
        </is>
      </c>
      <c r="K153" s="11" t="inlineStr">
        <is>
          <t>Cooked Rice (150g) + Mixed Vegetable Sambar (180g) + Pan-seared Tofu or Paneer (80g) + Cucumber Slices [465 kcal, 21g P, 52g C, 17g F, ₹55]</t>
        </is>
      </c>
      <c r="L153" s="11" t="inlineStr">
        <is>
          <t>Boiled Sweet Corn (120g) with lemon squeeze &amp; chaat masala [120 kcal, 4g P, 24g C, 1.5g F, ₹20] | Alt: Roasted Kadale / Chana (30g) + Warm Elaichi Green Tea [125 kcal, 6g P, 18g C, 2.5g F, ₹15]</t>
        </is>
      </c>
      <c r="M153" s="11" t="inlineStr">
        <is>
          <t>2 Soft Phulkas (75g) + Fresh Paneer Bhurji (90g paneer, capsicum, tomato) + Warm Tomato Rasam (150ml) [445 kcal, 21g P, 44g C, 19g F, ₹60]</t>
        </is>
      </c>
      <c r="N153" s="11" t="inlineStr">
        <is>
          <t>2 Ragi Rotis (130g) + Chicken Curry (90g cooked meat) + Onion Cucumber Raita (80g) [430 kcal, 30g P, 46g C, 11g F, ₹70]</t>
        </is>
      </c>
      <c r="O153" s="11" t="inlineStr">
        <is>
          <t>Moong Dal Vegetable Dalia Khichdi (220g) + Fresh Curd (100g) [390 kcal, 16g P, 54g C, 9g F, ₹35]</t>
        </is>
      </c>
      <c r="P153" s="11" t="inlineStr">
        <is>
          <t>Optional Pre: 2 Medjool dates [80 kcal] • Post: 1 boiled egg white or 100g warm milk [55 kcal, 4g P]</t>
        </is>
      </c>
      <c r="Q153" s="12" t="n">
        <v>1390</v>
      </c>
      <c r="R153" s="12" t="n">
        <v>63</v>
      </c>
      <c r="S153" s="12" t="n">
        <v>164</v>
      </c>
      <c r="T153" s="12" t="n">
        <v>50</v>
      </c>
      <c r="U153" s="12" t="n">
        <v>168</v>
      </c>
      <c r="V153" s="11" t="inlineStr">
        <is>
          <t>Rinse thick poha in colander, drain well. Sauté with onion, curry leaves, carrots &amp; roasted peanuts. Prick boiled eggs gently before simmering in gravy to absorb rich flavours.</t>
        </is>
      </c>
    </row>
    <row r="154" ht="36" customHeight="1">
      <c r="A154" s="7" t="inlineStr">
        <is>
          <t>2027-03-25</t>
        </is>
      </c>
      <c r="B154" s="7" t="n">
        <v>153</v>
      </c>
      <c r="C154" s="7" t="inlineStr">
        <is>
          <t>Thursday</t>
        </is>
      </c>
      <c r="D154" s="8" t="inlineStr">
        <is>
          <t>Bengaluru Rava Upma &amp; Fresh Coastal Home Curry</t>
        </is>
      </c>
      <c r="E154" s="8" t="inlineStr">
        <is>
          <t>Bengaluru Vegetable Rava Upma (180g cooked) with roasted peanuts + 1 Boiled Egg [340 kcal, 14g P, 44g C, 12g F, ₹26]</t>
        </is>
      </c>
      <c r="F154" s="8" t="inlineStr">
        <is>
          <t>Vegetable Upma (180g) + 1 glass warm toned milk (150ml) [320 kcal, 11g P, 48g C, 9g F, ₹24]</t>
        </is>
      </c>
      <c r="G154" s="8" t="inlineStr">
        <is>
          <t>Steamed Idlis (3 pcs) with Mint Toor Dal Chutney (40g) + 1 Boiled Egg [320 kcal, 15g P, 42g C, 9g F, ₹28]</t>
        </is>
      </c>
      <c r="H154" s="8" t="inlineStr">
        <is>
          <t>Fresh Fruit Bowl (150g watermelon or papaya) + 6 soaked almonds [110 kcal, 3g P, 22g C, 3g F, ₹30] | Alt: Tender Coconut Water (220ml) [45 kcal, 1g P, 10g C, 0g F, ₹35]</t>
        </is>
      </c>
      <c r="I154" s="8" t="inlineStr">
        <is>
          <t>Sona Masoori Rice (150g cooked) + Bengaluru Fish Curry (120g fresh fish in light gravy) + Cabbage &amp; Pea Poriyal (130g) + Rasam [450 kcal, 33g P, 46g C, 13g F, ₹80]</t>
        </is>
      </c>
      <c r="J154" s="8" t="inlineStr">
        <is>
          <t>2 Phulkas (80g) + Chicken Curry (95g cooked meat) + Cucumber Carrot Salad (100g) [440 kcal, 31g P, 44g C, 13g F, ₹65]</t>
        </is>
      </c>
      <c r="K154" s="8" t="inlineStr">
        <is>
          <t>Rice (150g) + Thick Chana Dal (180g) + Beans Palya (130g) + Fresh Curd (100g) [470 kcal, 22g P, 56g C, 15g F, ₹45]</t>
        </is>
      </c>
      <c r="L154" s="8" t="inlineStr">
        <is>
          <t>Roasted Puri Kadale / Chana (30g) + Warm Ginger Tea (100ml low-fat milk) [140 kcal, 6g P, 20g C, 3.5g F, ₹18] | Alt: Spiced Boiled Moong Sprouts (80g) with lime &amp; salt [110 kcal, 7g P, 18g C, 1g F, ₹15]</t>
        </is>
      </c>
      <c r="M154" s="8" t="inlineStr">
        <is>
          <t>2 Soft Phulkas (75g) + Soya Chunks &amp; Green Pea Curry (45g dry soya + 50g peas) + Fresh Curd (80g) [420 kcal, 29g P, 48g C, 9g F, ₹40]</t>
        </is>
      </c>
      <c r="N154" s="8" t="inlineStr">
        <is>
          <t>2 Phulkas (75g) + 2 Boiled Eggs in Homestyle Curry (100g) + Sliced Cucumber [410 kcal, 21g P, 42g C, 15g F, ₹38]</t>
        </is>
      </c>
      <c r="O154" s="8" t="inlineStr">
        <is>
          <t>2 Ragi Rotis (120g) + Mixed Vegetable Sambar (180ml) + Sautéed Palak (100g) [380 kcal, 14g P, 54g C, 8g F, ₹30]</t>
        </is>
      </c>
      <c r="P154" s="8" t="inlineStr">
        <is>
          <t>Optional Pre: 1 cup tender coconut water [45 kcal] • Post: 1 glass warm milk (150ml) [85 kcal, 5g P]</t>
        </is>
      </c>
      <c r="Q154" s="9" t="n">
        <v>1460</v>
      </c>
      <c r="R154" s="9" t="n">
        <v>85</v>
      </c>
      <c r="S154" s="9" t="n">
        <v>180</v>
      </c>
      <c r="T154" s="9" t="n">
        <v>40.5</v>
      </c>
      <c r="U154" s="9" t="n">
        <v>194</v>
      </c>
      <c r="V154" s="8" t="inlineStr">
        <is>
          <t>Dry roast semolina lightly. Tempered with mustard seeds, chana dal, green chillies &amp; mixed veggies. Use fresh local fish cuts (rohu, pomfret, or seer fish). Simmer gently for 8 mins.</t>
        </is>
      </c>
    </row>
    <row r="155" ht="36" customHeight="1">
      <c r="A155" s="10" t="inlineStr">
        <is>
          <t>2027-03-26</t>
        </is>
      </c>
      <c r="B155" s="10" t="n">
        <v>154</v>
      </c>
      <c r="C155" s="10" t="inlineStr">
        <is>
          <t>Friday</t>
        </is>
      </c>
      <c r="D155" s="11" t="inlineStr">
        <is>
          <t>Nourishing Rolled Oats &amp; Tender Chicken Palya</t>
        </is>
      </c>
      <c r="E155" s="11" t="inlineStr">
        <is>
          <t>Warm Rolled Oats (40g dry + 180ml toned milk) + 1 Boiled Egg + Apple slices (50g) [345 kcal, 18g P, 46g C, 10g F, ₹35]</t>
        </is>
      </c>
      <c r="F155" s="11" t="inlineStr">
        <is>
          <t>Vegetable Poha (160g cooked) + 2 Boiled Eggs [360 kcal, 18g P, 42g C, 14g F, ₹32]</t>
        </is>
      </c>
      <c r="G155" s="11" t="inlineStr">
        <is>
          <t>2 Plain Dosas (120g) + Toor Dal Sambar (150ml) + 1 cup warm sprouted moong [330 kcal, 14g P, 48g C, 7g F, ₹25]</t>
        </is>
      </c>
      <c r="H155" s="11" t="inlineStr">
        <is>
          <t>Tender Coconut Water (220ml) + 5 Soaked Almonds [95 kcal, 3g P, 12g C, 4g F, ₹40] | Alt: Fresh Spiced Buttermilk (220ml) with coriander &amp; rock salt [45 kcal, 3g P, 4g C, 1.5g F, ₹15]</t>
        </is>
      </c>
      <c r="I155" s="11" t="inlineStr">
        <is>
          <t>Sona Masoori Rice (150g cooked) + Tender Chicken Curry (130g raw / 95g meat) + Palak (Spinach) Palya (140g) + Rasam [470 kcal, 35g P, 46g C, 13g F, ₹75]</t>
        </is>
      </c>
      <c r="J155" s="11" t="inlineStr">
        <is>
          <t>2 Soft Phulkas (80g) + Fresh Paneer Curry (85g paneer in light gravy) + French Beans Palya (120g) [450 kcal, 21g P, 44g C, 19g F, ₹55]</t>
        </is>
      </c>
      <c r="K155" s="11" t="inlineStr">
        <is>
          <t>Rice (150g) + Toor Dal Tadka (180g) + 2 Boiled Eggs + Beetroot Poriyal (120g) [460 kcal, 25g P, 52g C, 14g F, ₹42]</t>
        </is>
      </c>
      <c r="L155" s="11" t="inlineStr">
        <is>
          <t>Roasted Makhana (30g) + Hot Green Tea with lemon [130 kcal, 3g P, 21g C, 3.5g F, ₹25] | Alt: Boiled Chickpeas Sundal (70g) with mustard &amp; curry leaves [125 kcal, 6g P, 20g C, 2.5g F, ₹18]</t>
        </is>
      </c>
      <c r="M155" s="11" t="inlineStr">
        <is>
          <t>2 Soft Phulkas (75g) + 2 Boiled Eggs in Tomato Onion Curry + Cucumber Salad (100g) [415 kcal, 21g P, 42g C, 15g F, ₹38]</t>
        </is>
      </c>
      <c r="N155" s="11" t="inlineStr">
        <is>
          <t>2 Phulkas (75g) + Grilled Chicken Strips (100g cooked) + Mixed Sautéed Capsicum &amp; Onions [425 kcal, 32g P, 40g C, 11g F, ₹65]</t>
        </is>
      </c>
      <c r="O155" s="11" t="inlineStr">
        <is>
          <t>Warm Moong Dal Vegetable Khichdi (220g) + Fresh Curd (100g) [380 kcal, 15g P, 56g C, 8g F, ₹35]</t>
        </is>
      </c>
      <c r="P155" s="11" t="inlineStr">
        <is>
          <t>Optional Pre: 1 small banana [70 kcal] • Post: 1 cup warm turmeric milk [90 kcal, 6g P]</t>
        </is>
      </c>
      <c r="Q155" s="12" t="n">
        <v>1455</v>
      </c>
      <c r="R155" s="12" t="n">
        <v>80</v>
      </c>
      <c r="S155" s="12" t="n">
        <v>167</v>
      </c>
      <c r="T155" s="12" t="n">
        <v>45.5</v>
      </c>
      <c r="U155" s="12" t="n">
        <v>213</v>
      </c>
      <c r="V155" s="11" t="inlineStr">
        <is>
          <t>Cook oats in milk for 4 mins on medium flame. Stir in pinch of cinnamon powder. Weigh raw boneless chicken (130g). Steam spinach lightly with mustard tempering.</t>
        </is>
      </c>
    </row>
    <row r="156" ht="36" customHeight="1">
      <c r="A156" s="7" t="inlineStr">
        <is>
          <t>2027-03-27</t>
        </is>
      </c>
      <c r="B156" s="7" t="n">
        <v>155</v>
      </c>
      <c r="C156" s="7" t="inlineStr">
        <is>
          <t>Saturday</t>
        </is>
      </c>
      <c r="D156" s="8" t="inlineStr">
        <is>
          <t>Calcium-Rich Ragi Dosa &amp; Fresh Country Egg Feast</t>
        </is>
      </c>
      <c r="E156" s="8" t="inlineStr">
        <is>
          <t>Ragi Dosa (2 medium, 120g) + Coconut Mint Chutney (30g) + 2 Boiled Eggs [350 kcal, 19g P, 40g C, 13g F, ₹35]</t>
        </is>
      </c>
      <c r="F156" s="8" t="inlineStr">
        <is>
          <t>Steamed Idlis (3 pcs, 110g) + Vegetable Sambar (150ml) + 1 Boiled Egg [310 kcal, 13g P, 44g C, 8g F, ₹25]</t>
        </is>
      </c>
      <c r="G156" s="8" t="inlineStr">
        <is>
          <t>Vegetable Upma (180g) + Warm Toned Milk (150ml) [320 kcal, 11g P, 48g C, 9g F, ₹22]</t>
        </is>
      </c>
      <c r="H156" s="8" t="inlineStr">
        <is>
          <t>Fresh Seasonal Fruit (1 Medium Apple or 150g Papaya) + 6 Almonds [115 kcal, 3g P, 22g C, 3.5g F, ₹30] | Alt: Tender Coconut Water (220ml) [45 kcal, 1g P, 10g C, 0g F, ₹35]</t>
        </is>
      </c>
      <c r="I156" s="8" t="inlineStr">
        <is>
          <t>2 Soft Phulkas (80g) + Homestyle Egg Curry (2 eggs) + Cabbage &amp; Carrot Poriyal (140g) + Rasam [445 kcal, 22g P, 48g C, 16g F, ₹42]</t>
        </is>
      </c>
      <c r="J156" s="8" t="inlineStr">
        <is>
          <t>Sona Masoori Rice (150g) + Bengaluru Chicken Curry (95g meat) + Beans Palya (120g) [475 kcal, 34g P, 48g C, 14g F, ₹75]</t>
        </is>
      </c>
      <c r="K156" s="8" t="inlineStr">
        <is>
          <t>Rice (150g) + Thick Toor Dal Tadka (180g) + Fresh Curd (100g) + Tomato Cucumber Salad [440 kcal, 18g P, 56g C, 14g F, ₹40]</t>
        </is>
      </c>
      <c r="L156" s="8" t="inlineStr">
        <is>
          <t>Spiced Boiled Sundal / Chickpeas (80g) with lime [140 kcal, 7g P, 22g C, 3g F, ₹20] | Alt: Roasted Makhana (30g) in 1/2 tsp ghee &amp; rock salt [130 kcal, 3g P, 21g C, 3.5g F, ₹25]</t>
        </is>
      </c>
      <c r="M156" s="8" t="inlineStr">
        <is>
          <t>2 Soft Phulkas (75g) + Home Chicken Curry (100g meat) + Cucumber Salad (100g) [420 kcal, 31g P, 42g C, 12g F, ₹65]</t>
        </is>
      </c>
      <c r="N156" s="8" t="inlineStr">
        <is>
          <t>2 Phulkas (75g) + Fresh Paneer Bhurji (90g paneer, capsicum, onion) + Clear Soup [440 kcal, 20g P, 42g C, 20g F, ₹55]</t>
        </is>
      </c>
      <c r="O156" s="8" t="inlineStr">
        <is>
          <t>Rice-Moong Dal Khichdi (220g) + Curd (100g) + Lauki Sabzi (120g) [385 kcal, 14g P, 58g C, 8.5g F, ₹35]</t>
        </is>
      </c>
      <c r="P156" s="8" t="inlineStr">
        <is>
          <t>Optional Pre: 1 cup tender coconut water [45 kcal] • Post: 1 glass warm milk (150ml) [85 kcal, 5g P]</t>
        </is>
      </c>
      <c r="Q156" s="9" t="n">
        <v>1470</v>
      </c>
      <c r="R156" s="9" t="n">
        <v>82</v>
      </c>
      <c r="S156" s="9" t="n">
        <v>174</v>
      </c>
      <c r="T156" s="9" t="n">
        <v>47.5</v>
      </c>
      <c r="U156" s="9" t="n">
        <v>192</v>
      </c>
      <c r="V156" s="8" t="inlineStr">
        <is>
          <t>Mix ragi flour with equal water, pinch of salt, cumin seeds &amp; chopped onion. Pour on medium hot tawa. Cook vegetables in minimum oil with mustard seeds, curry leaves &amp; grated fresh coconut.</t>
        </is>
      </c>
    </row>
    <row r="157" ht="36" customHeight="1">
      <c r="A157" s="10" t="inlineStr">
        <is>
          <t>2027-03-28</t>
        </is>
      </c>
      <c r="B157" s="10" t="n">
        <v>156</v>
      </c>
      <c r="C157" s="10" t="inlineStr">
        <is>
          <t>Sunday</t>
        </is>
      </c>
      <c r="D157" s="11" t="inlineStr">
        <is>
          <t>High-Fiber Soya Chunks &amp; Comfort Idli Sambar</t>
        </is>
      </c>
      <c r="E157" s="11" t="inlineStr">
        <is>
          <t>Steamed Idlis (3 pcs, 110g) + Vegetable Sambar (150ml) + 2 Boiled Eggs [340 kcal, 19g P, 38g C, 12g F, ₹35]</t>
        </is>
      </c>
      <c r="F157" s="11" t="inlineStr">
        <is>
          <t>Vegetable Poha (160g cooked) + 1 Boiled Egg [310 kcal, 12g P, 44g C, 9g F, ₹26]</t>
        </is>
      </c>
      <c r="G157" s="11" t="inlineStr">
        <is>
          <t>Rolled Oats cooked in toned milk (40g + 180ml milk) with 1/2 apple [290 kcal, 12g P, 45g C, 6g F, ₹30]</t>
        </is>
      </c>
      <c r="H157" s="11" t="inlineStr">
        <is>
          <t>Spiced Buttermilk / Majjige (220ml) with curry leaves &amp; ginger [45 kcal, 3g P, 4g C, 1.5g F, ₹15] | Alt: Fresh Papaya slices (150g) + 5 almonds [110 kcal, 3g P, 22g C, 3g F, ₹28]</t>
        </is>
      </c>
      <c r="I157" s="11" t="inlineStr">
        <is>
          <t>Sona Masoori Rice (150g cooked) + Soya Chunks Curry (45g dry soya chunks cooked in onion-tomato gravy) + French Beans Palya (130g) + Rasam [460 kcal, 31g P, 56g C, 9g F, ₹42]</t>
        </is>
      </c>
      <c r="J157" s="11" t="inlineStr">
        <is>
          <t>2 Phulkas (80g) + Chicken Curry (95g meat) + Cabbage Poriyal (120g) [440 kcal, 31g P, 44g C, 13g F, ₹65]</t>
        </is>
      </c>
      <c r="K157" s="11" t="inlineStr">
        <is>
          <t>Rice (150g) + Thick Toor Dal (180g) + 2 Boiled Eggs + Ridge Gourd Palya (120g) [455 kcal, 24g P, 52g C, 14g F, ₹40]</t>
        </is>
      </c>
      <c r="L157" s="11" t="inlineStr">
        <is>
          <t>Roasted Kadale / Chana (30g) + Hot Elaichi Tea (100ml milk) [140 kcal, 6g P, 20g C, 3.5g F, ₹18] | Alt: Roasted Makhana (30g) in ghee &amp; rock salt [130 kcal, 3g P, 21g C, 3.5g F, ₹25]</t>
        </is>
      </c>
      <c r="M157" s="11" t="inlineStr">
        <is>
          <t>2 Soft Phulkas (75g) + 2 Boiled Eggs in Mild Curry + Cucumber Carrot Salad (120g) [415 kcal, 21g P, 42g C, 15g F, ₹38]</t>
        </is>
      </c>
      <c r="N157" s="11" t="inlineStr">
        <is>
          <t>2 Phulkas (75g) + Paneer Bhurji (90g paneer, capsicum, tomato) + Warm Soup [445 kcal, 20g P, 44g C, 19g F, ₹58]</t>
        </is>
      </c>
      <c r="O157" s="11" t="inlineStr">
        <is>
          <t>2 Ragi Rotis (120g) + Chicken Curry (90g meat) + Cucumber Slices [425 kcal, 30g P, 46g C, 11g F, ₹68]</t>
        </is>
      </c>
      <c r="P157" s="11" t="inlineStr">
        <is>
          <t>Optional Pre: 1 small banana [70 kcal] • Post: 1 glass warm milk [90 kcal, 6g P]</t>
        </is>
      </c>
      <c r="Q157" s="12" t="n">
        <v>1400</v>
      </c>
      <c r="R157" s="12" t="n">
        <v>80</v>
      </c>
      <c r="S157" s="12" t="n">
        <v>160</v>
      </c>
      <c r="T157" s="12" t="n">
        <v>41</v>
      </c>
      <c r="U157" s="12" t="n">
        <v>151</v>
      </c>
      <c r="V157" s="11" t="inlineStr">
        <is>
          <t>Dip idlis in piping hot sambar. Eggs provide complete amino acid profile. Soak soya chunks in warm water for 15 mins. Squeeze out bitter water completely before cooking.</t>
        </is>
      </c>
    </row>
    <row r="158" ht="36" customHeight="1">
      <c r="A158" s="7" t="inlineStr">
        <is>
          <t>2027-03-29</t>
        </is>
      </c>
      <c r="B158" s="7" t="n">
        <v>157</v>
      </c>
      <c r="C158" s="7" t="inlineStr">
        <is>
          <t>Monday</t>
        </is>
      </c>
      <c r="D158" s="8" t="inlineStr">
        <is>
          <t>Comfort Steamed Staples &amp; Bengaluru Chicken Curry</t>
        </is>
      </c>
      <c r="E158" s="8" t="inlineStr">
        <is>
          <t>Steamed Idlis (3 pcs, 110g) + Veg Sambar (150ml) + 2 Boiled Eggs (100g) [340 kcal, 19g P, 38g C, 12g F, ₹35]</t>
        </is>
      </c>
      <c r="F158" s="8" t="inlineStr">
        <is>
          <t>Steamed Idlis (3 pcs) + Veg Sambar + 1 cup warm sprouted moong salad (100g) [310 kcal, 13g P, 46g C, 5g F, ₹25]</t>
        </is>
      </c>
      <c r="G158" s="8" t="inlineStr">
        <is>
          <t>Ragi Dosa (2 medium, 120g) + Mint Chutney (30g) + 1 Boiled Egg [320 kcal, 14g P, 42g C, 11g F, ₹28]</t>
        </is>
      </c>
      <c r="H158" s="8" t="inlineStr">
        <is>
          <t>Tender Coconut Water (220ml) + Handful Roasted Chana (25g) [130 kcal, 5g P, 22g C, 2g F, ₹40] | Alt: Fresh Papaya slices (150g) + 5 soaked almonds [110 kcal, 3g P, 22g C, 3g F, ₹30]</t>
        </is>
      </c>
      <c r="I158" s="8" t="inlineStr">
        <is>
          <t>Sona Masoori Rice (150g cooked / 55g raw) + Bengaluru Chicken Curry (130g raw / 95g cooked meat) + French Beans Palya (130g) + Pepper Rasam [475 kcal, 34g P, 48g C, 14g F, ₹75]</t>
        </is>
      </c>
      <c r="J158" s="8" t="inlineStr">
        <is>
          <t>2 Soft Wheat Phulkas (80g) + Homestyle Egg Curry (2 eggs in onion-tomato gravy) + Cabbage Poriyal (140g) [440 kcal, 21g P, 48g C, 16g F, ₹40]</t>
        </is>
      </c>
      <c r="K158" s="8" t="inlineStr">
        <is>
          <t>Sona Masoori Rice (150g) + Thick Toor Dal Tadka (180g) + Paneer Palya (80g paneer) + Fresh Curd (100g) [480 kcal, 23g P, 54g C, 18g F, ₹55]</t>
        </is>
      </c>
      <c r="L158" s="8" t="inlineStr">
        <is>
          <t>Spiced Boiled Sundal / Chickpeas (80g) with mustard tempering &amp; lemon [140 kcal, 7g P, 22g C, 3g F, ₹20] | Alt: Roasted Makhana (30g) in 1/2 tsp ghee &amp; rock salt [130 kcal, 3g P, 21g C, 3.5g F, ₹25]</t>
        </is>
      </c>
      <c r="M158" s="8" t="inlineStr">
        <is>
          <t>2 Soft Whole Wheat Phulkas (75g) + Grilled/Pan Chicken Curry (100g meat) + Cucumber Tomato Salad (120g) [420 kcal, 31g P, 42g C, 12g F, ₹65]</t>
        </is>
      </c>
      <c r="N158" s="8" t="inlineStr">
        <is>
          <t>2 Phulkas (75g) + Fresh Paneer Bhurji (90g paneer with capsicum &amp; onion) + Tomato Clear Soup [440 kcal, 20g P, 42g C, 20g F, ₹55]</t>
        </is>
      </c>
      <c r="O158" s="8" t="inlineStr">
        <is>
          <t>Warm Rice-Moong Dal Khichdi (220g) + Fresh Curd (100g) + Steamed Beetroot Poriyal (100g) [380 kcal, 14g P, 58g C, 8g F, ₹35]</t>
        </is>
      </c>
      <c r="P158" s="8" t="inlineStr">
        <is>
          <t>Optional Pre: 1 small banana (80g) [70 kcal] • Post: 1 glass warm toned milk with turmeric (180ml) [95 kcal, 6g P]</t>
        </is>
      </c>
      <c r="Q158" s="9" t="n">
        <v>1505</v>
      </c>
      <c r="R158" s="9" t="n">
        <v>96</v>
      </c>
      <c r="S158" s="9" t="n">
        <v>172</v>
      </c>
      <c r="T158" s="9" t="n">
        <v>43</v>
      </c>
      <c r="U158" s="9" t="n">
        <v>235</v>
      </c>
      <c r="V158" s="8" t="inlineStr">
        <is>
          <t>Steam idlis in idli cooker for 10-12 mins. Weigh 110g cooked on kitchen scale. Zero plate on scale, measure 150g warm rice, then add 95g cooked chicken meat without bones.</t>
        </is>
      </c>
    </row>
    <row r="159" ht="36" customHeight="1">
      <c r="A159" s="10" t="inlineStr">
        <is>
          <t>2027-03-30</t>
        </is>
      </c>
      <c r="B159" s="10" t="n">
        <v>158</v>
      </c>
      <c r="C159" s="10" t="inlineStr">
        <is>
          <t>Tuesday</t>
        </is>
      </c>
      <c r="D159" s="11" t="inlineStr">
        <is>
          <t>Iron-Rich Poha, Egg Curry &amp; Golden Turmeric Phulkas</t>
        </is>
      </c>
      <c r="E159" s="11" t="inlineStr">
        <is>
          <t>Vegetable Poha (160g cooked) tempered with mustard &amp; roasted peanuts (15g) + 1 Boiled Egg [330 kcal, 13g P, 44g C, 11g F, ₹28]</t>
        </is>
      </c>
      <c r="F159" s="11" t="inlineStr">
        <is>
          <t>Vegetable Poha (180g) + 1 glass warm toned milk (150ml) [310 kcal, 11g P, 48g C, 8g F, ₹24]</t>
        </is>
      </c>
      <c r="G159" s="11" t="inlineStr">
        <is>
          <t>Rolled Oats cooked in milk (40g oats + 180ml toned milk) with half diced apple [290 kcal, 12g P, 45g C, 6g F, ₹30]</t>
        </is>
      </c>
      <c r="H159" s="11" t="inlineStr">
        <is>
          <t>Spiced Majjige / Buttermilk (220ml) with grated ginger &amp; curry leaves [45 kcal, 3g P, 4g C, 1.5g F, ₹15] | Alt: 1 Crisp Guava or Apple (130g) with pinch of rock salt [75 kcal, 1.5g P, 18g C, 0.5g F, ₹20]</t>
        </is>
      </c>
      <c r="I159" s="11" t="inlineStr">
        <is>
          <t>2 Soft Phulkas (80g) + 2 Boiled Eggs in Onion-Tomato Gravy (120g gravy) + Ridge Gourd (Heerekayi) Palya (140g) [450 kcal, 22g P, 48g C, 17g F, ₹45]</t>
        </is>
      </c>
      <c r="J159" s="11" t="inlineStr">
        <is>
          <t>Sona Masoori Rice (150g) + Fish Curry (120g rohu/pomfret in light coconut gravy) + Beans Poriyal (120g) [460 kcal, 32g P, 46g C, 13g F, ₹80]</t>
        </is>
      </c>
      <c r="K159" s="11" t="inlineStr">
        <is>
          <t>Cooked Rice (150g) + Mixed Vegetable Sambar (180g) + Pan-seared Tofu or Paneer (80g) + Cucumber Slices [465 kcal, 21g P, 52g C, 17g F, ₹55]</t>
        </is>
      </c>
      <c r="L159" s="11" t="inlineStr">
        <is>
          <t>Boiled Sweet Corn (120g) with lemon squeeze &amp; chaat masala [120 kcal, 4g P, 24g C, 1.5g F, ₹20] | Alt: Roasted Kadale / Chana (30g) + Warm Elaichi Green Tea [125 kcal, 6g P, 18g C, 2.5g F, ₹15]</t>
        </is>
      </c>
      <c r="M159" s="11" t="inlineStr">
        <is>
          <t>2 Soft Phulkas (75g) + Fresh Paneer Bhurji (90g paneer, capsicum, tomato) + Warm Tomato Rasam (150ml) [445 kcal, 21g P, 44g C, 19g F, ₹60]</t>
        </is>
      </c>
      <c r="N159" s="11" t="inlineStr">
        <is>
          <t>2 Ragi Rotis (130g) + Chicken Curry (90g cooked meat) + Onion Cucumber Raita (80g) [430 kcal, 30g P, 46g C, 11g F, ₹70]</t>
        </is>
      </c>
      <c r="O159" s="11" t="inlineStr">
        <is>
          <t>Moong Dal Vegetable Dalia Khichdi (220g) + Fresh Curd (100g) [390 kcal, 16g P, 54g C, 9g F, ₹35]</t>
        </is>
      </c>
      <c r="P159" s="11" t="inlineStr">
        <is>
          <t>Optional Pre: 2 Medjool dates [80 kcal] • Post: 1 boiled egg white or 100g warm milk [55 kcal, 4g P]</t>
        </is>
      </c>
      <c r="Q159" s="12" t="n">
        <v>1390</v>
      </c>
      <c r="R159" s="12" t="n">
        <v>63</v>
      </c>
      <c r="S159" s="12" t="n">
        <v>164</v>
      </c>
      <c r="T159" s="12" t="n">
        <v>50</v>
      </c>
      <c r="U159" s="12" t="n">
        <v>168</v>
      </c>
      <c r="V159" s="11" t="inlineStr">
        <is>
          <t>Rinse thick poha in colander, drain well. Sauté with onion, curry leaves, carrots &amp; roasted peanuts. Prick boiled eggs gently before simmering in gravy to absorb rich flavours.</t>
        </is>
      </c>
    </row>
    <row r="160" ht="36" customHeight="1">
      <c r="A160" s="7" t="inlineStr">
        <is>
          <t>2027-03-31</t>
        </is>
      </c>
      <c r="B160" s="7" t="n">
        <v>159</v>
      </c>
      <c r="C160" s="7" t="inlineStr">
        <is>
          <t>Wednesday</t>
        </is>
      </c>
      <c r="D160" s="8" t="inlineStr">
        <is>
          <t>Bengaluru Rava Upma &amp; Fresh Coastal Home Curry</t>
        </is>
      </c>
      <c r="E160" s="8" t="inlineStr">
        <is>
          <t>Bengaluru Vegetable Rava Upma (180g cooked) with roasted peanuts + 1 Boiled Egg [340 kcal, 14g P, 44g C, 12g F, ₹26]</t>
        </is>
      </c>
      <c r="F160" s="8" t="inlineStr">
        <is>
          <t>Vegetable Upma (180g) + 1 glass warm toned milk (150ml) [320 kcal, 11g P, 48g C, 9g F, ₹24]</t>
        </is>
      </c>
      <c r="G160" s="8" t="inlineStr">
        <is>
          <t>Steamed Idlis (3 pcs) with Mint Toor Dal Chutney (40g) + 1 Boiled Egg [320 kcal, 15g P, 42g C, 9g F, ₹28]</t>
        </is>
      </c>
      <c r="H160" s="8" t="inlineStr">
        <is>
          <t>Fresh Fruit Bowl (150g watermelon or papaya) + 6 soaked almonds [110 kcal, 3g P, 22g C, 3g F, ₹30] | Alt: Tender Coconut Water (220ml) [45 kcal, 1g P, 10g C, 0g F, ₹35]</t>
        </is>
      </c>
      <c r="I160" s="8" t="inlineStr">
        <is>
          <t>Sona Masoori Rice (150g cooked) + Bengaluru Fish Curry (120g fresh fish in light gravy) + Cabbage &amp; Pea Poriyal (130g) + Rasam [450 kcal, 33g P, 46g C, 13g F, ₹80]</t>
        </is>
      </c>
      <c r="J160" s="8" t="inlineStr">
        <is>
          <t>2 Phulkas (80g) + Chicken Curry (95g cooked meat) + Cucumber Carrot Salad (100g) [440 kcal, 31g P, 44g C, 13g F, ₹65]</t>
        </is>
      </c>
      <c r="K160" s="8" t="inlineStr">
        <is>
          <t>Rice (150g) + Thick Chana Dal (180g) + Beans Palya (130g) + Fresh Curd (100g) [470 kcal, 22g P, 56g C, 15g F, ₹45]</t>
        </is>
      </c>
      <c r="L160" s="8" t="inlineStr">
        <is>
          <t>Roasted Puri Kadale / Chana (30g) + Warm Ginger Tea (100ml low-fat milk) [140 kcal, 6g P, 20g C, 3.5g F, ₹18] | Alt: Spiced Boiled Moong Sprouts (80g) with lime &amp; salt [110 kcal, 7g P, 18g C, 1g F, ₹15]</t>
        </is>
      </c>
      <c r="M160" s="8" t="inlineStr">
        <is>
          <t>2 Soft Phulkas (75g) + Soya Chunks &amp; Green Pea Curry (45g dry soya + 50g peas) + Fresh Curd (80g) [420 kcal, 29g P, 48g C, 9g F, ₹40]</t>
        </is>
      </c>
      <c r="N160" s="8" t="inlineStr">
        <is>
          <t>2 Phulkas (75g) + 2 Boiled Eggs in Homestyle Curry (100g) + Sliced Cucumber [410 kcal, 21g P, 42g C, 15g F, ₹38]</t>
        </is>
      </c>
      <c r="O160" s="8" t="inlineStr">
        <is>
          <t>2 Ragi Rotis (120g) + Mixed Vegetable Sambar (180ml) + Sautéed Palak (100g) [380 kcal, 14g P, 54g C, 8g F, ₹30]</t>
        </is>
      </c>
      <c r="P160" s="8" t="inlineStr">
        <is>
          <t>Optional Pre: 1 cup tender coconut water [45 kcal] • Post: 1 glass warm milk (150ml) [85 kcal, 5g P]</t>
        </is>
      </c>
      <c r="Q160" s="9" t="n">
        <v>1460</v>
      </c>
      <c r="R160" s="9" t="n">
        <v>85</v>
      </c>
      <c r="S160" s="9" t="n">
        <v>180</v>
      </c>
      <c r="T160" s="9" t="n">
        <v>40.5</v>
      </c>
      <c r="U160" s="9" t="n">
        <v>194</v>
      </c>
      <c r="V160" s="8" t="inlineStr">
        <is>
          <t>Dry roast semolina lightly. Tempered with mustard seeds, chana dal, green chillies &amp; mixed veggies. Use fresh local fish cuts (rohu, pomfret, or seer fish). Simmer gently for 8 mins.</t>
        </is>
      </c>
    </row>
    <row r="161" ht="36" customHeight="1">
      <c r="A161" s="10" t="inlineStr">
        <is>
          <t>2027-04-01</t>
        </is>
      </c>
      <c r="B161" s="10" t="n">
        <v>160</v>
      </c>
      <c r="C161" s="10" t="inlineStr">
        <is>
          <t>Thursday</t>
        </is>
      </c>
      <c r="D161" s="11" t="inlineStr">
        <is>
          <t>Nourishing Rolled Oats &amp; Tender Chicken Palya</t>
        </is>
      </c>
      <c r="E161" s="11" t="inlineStr">
        <is>
          <t>Warm Rolled Oats (40g dry + 180ml toned milk) + 1 Boiled Egg + Apple slices (50g) [345 kcal, 18g P, 46g C, 10g F, ₹35]</t>
        </is>
      </c>
      <c r="F161" s="11" t="inlineStr">
        <is>
          <t>Vegetable Poha (160g cooked) + 2 Boiled Eggs [360 kcal, 18g P, 42g C, 14g F, ₹32]</t>
        </is>
      </c>
      <c r="G161" s="11" t="inlineStr">
        <is>
          <t>2 Plain Dosas (120g) + Toor Dal Sambar (150ml) + 1 cup warm sprouted moong [330 kcal, 14g P, 48g C, 7g F, ₹25]</t>
        </is>
      </c>
      <c r="H161" s="11" t="inlineStr">
        <is>
          <t>Tender Coconut Water (220ml) + 5 Soaked Almonds [95 kcal, 3g P, 12g C, 4g F, ₹40] | Alt: Fresh Spiced Buttermilk (220ml) with coriander &amp; rock salt [45 kcal, 3g P, 4g C, 1.5g F, ₹15]</t>
        </is>
      </c>
      <c r="I161" s="11" t="inlineStr">
        <is>
          <t>Sona Masoori Rice (150g cooked) + Tender Chicken Curry (130g raw / 95g meat) + Palak (Spinach) Palya (140g) + Rasam [470 kcal, 35g P, 46g C, 13g F, ₹75]</t>
        </is>
      </c>
      <c r="J161" s="11" t="inlineStr">
        <is>
          <t>2 Soft Phulkas (80g) + Fresh Paneer Curry (85g paneer in light gravy) + French Beans Palya (120g) [450 kcal, 21g P, 44g C, 19g F, ₹55]</t>
        </is>
      </c>
      <c r="K161" s="11" t="inlineStr">
        <is>
          <t>Rice (150g) + Toor Dal Tadka (180g) + 2 Boiled Eggs + Beetroot Poriyal (120g) [460 kcal, 25g P, 52g C, 14g F, ₹42]</t>
        </is>
      </c>
      <c r="L161" s="11" t="inlineStr">
        <is>
          <t>Roasted Makhana (30g) + Hot Green Tea with lemon [130 kcal, 3g P, 21g C, 3.5g F, ₹25] | Alt: Boiled Chickpeas Sundal (70g) with mustard &amp; curry leaves [125 kcal, 6g P, 20g C, 2.5g F, ₹18]</t>
        </is>
      </c>
      <c r="M161" s="11" t="inlineStr">
        <is>
          <t>2 Soft Phulkas (75g) + 2 Boiled Eggs in Tomato Onion Curry + Cucumber Salad (100g) [415 kcal, 21g P, 42g C, 15g F, ₹38]</t>
        </is>
      </c>
      <c r="N161" s="11" t="inlineStr">
        <is>
          <t>2 Phulkas (75g) + Grilled Chicken Strips (100g cooked) + Mixed Sautéed Capsicum &amp; Onions [425 kcal, 32g P, 40g C, 11g F, ₹65]</t>
        </is>
      </c>
      <c r="O161" s="11" t="inlineStr">
        <is>
          <t>Warm Moong Dal Vegetable Khichdi (220g) + Fresh Curd (100g) [380 kcal, 15g P, 56g C, 8g F, ₹35]</t>
        </is>
      </c>
      <c r="P161" s="11" t="inlineStr">
        <is>
          <t>Optional Pre: 1 small banana [70 kcal] • Post: 1 cup warm turmeric milk [90 kcal, 6g P]</t>
        </is>
      </c>
      <c r="Q161" s="12" t="n">
        <v>1455</v>
      </c>
      <c r="R161" s="12" t="n">
        <v>80</v>
      </c>
      <c r="S161" s="12" t="n">
        <v>167</v>
      </c>
      <c r="T161" s="12" t="n">
        <v>45.5</v>
      </c>
      <c r="U161" s="12" t="n">
        <v>213</v>
      </c>
      <c r="V161" s="11" t="inlineStr">
        <is>
          <t>Cook oats in milk for 4 mins on medium flame. Stir in pinch of cinnamon powder. Weigh raw boneless chicken (130g). Steam spinach lightly with mustard tempering.</t>
        </is>
      </c>
    </row>
    <row r="162" ht="36" customHeight="1">
      <c r="A162" s="7" t="inlineStr">
        <is>
          <t>2027-04-02</t>
        </is>
      </c>
      <c r="B162" s="7" t="n">
        <v>161</v>
      </c>
      <c r="C162" s="7" t="inlineStr">
        <is>
          <t>Friday</t>
        </is>
      </c>
      <c r="D162" s="8" t="inlineStr">
        <is>
          <t>Calcium-Rich Ragi Dosa &amp; Fresh Country Egg Feast</t>
        </is>
      </c>
      <c r="E162" s="8" t="inlineStr">
        <is>
          <t>Ragi Dosa (2 medium, 120g) + Coconut Mint Chutney (30g) + 2 Boiled Eggs [350 kcal, 19g P, 40g C, 13g F, ₹35]</t>
        </is>
      </c>
      <c r="F162" s="8" t="inlineStr">
        <is>
          <t>Steamed Idlis (3 pcs, 110g) + Vegetable Sambar (150ml) + 1 Boiled Egg [310 kcal, 13g P, 44g C, 8g F, ₹25]</t>
        </is>
      </c>
      <c r="G162" s="8" t="inlineStr">
        <is>
          <t>Vegetable Upma (180g) + Warm Toned Milk (150ml) [320 kcal, 11g P, 48g C, 9g F, ₹22]</t>
        </is>
      </c>
      <c r="H162" s="8" t="inlineStr">
        <is>
          <t>Fresh Seasonal Fruit (1 Medium Apple or 150g Papaya) + 6 Almonds [115 kcal, 3g P, 22g C, 3.5g F, ₹30] | Alt: Tender Coconut Water (220ml) [45 kcal, 1g P, 10g C, 0g F, ₹35]</t>
        </is>
      </c>
      <c r="I162" s="8" t="inlineStr">
        <is>
          <t>2 Soft Phulkas (80g) + Homestyle Egg Curry (2 eggs) + Cabbage &amp; Carrot Poriyal (140g) + Rasam [445 kcal, 22g P, 48g C, 16g F, ₹42]</t>
        </is>
      </c>
      <c r="J162" s="8" t="inlineStr">
        <is>
          <t>Sona Masoori Rice (150g) + Bengaluru Chicken Curry (95g meat) + Beans Palya (120g) [475 kcal, 34g P, 48g C, 14g F, ₹75]</t>
        </is>
      </c>
      <c r="K162" s="8" t="inlineStr">
        <is>
          <t>Rice (150g) + Thick Toor Dal Tadka (180g) + Fresh Curd (100g) + Tomato Cucumber Salad [440 kcal, 18g P, 56g C, 14g F, ₹40]</t>
        </is>
      </c>
      <c r="L162" s="8" t="inlineStr">
        <is>
          <t>Spiced Boiled Sundal / Chickpeas (80g) with lime [140 kcal, 7g P, 22g C, 3g F, ₹20] | Alt: Roasted Makhana (30g) in 1/2 tsp ghee &amp; rock salt [130 kcal, 3g P, 21g C, 3.5g F, ₹25]</t>
        </is>
      </c>
      <c r="M162" s="8" t="inlineStr">
        <is>
          <t>2 Soft Phulkas (75g) + Home Chicken Curry (100g meat) + Cucumber Salad (100g) [420 kcal, 31g P, 42g C, 12g F, ₹65]</t>
        </is>
      </c>
      <c r="N162" s="8" t="inlineStr">
        <is>
          <t>2 Phulkas (75g) + Fresh Paneer Bhurji (90g paneer, capsicum, onion) + Clear Soup [440 kcal, 20g P, 42g C, 20g F, ₹55]</t>
        </is>
      </c>
      <c r="O162" s="8" t="inlineStr">
        <is>
          <t>Rice-Moong Dal Khichdi (220g) + Curd (100g) + Lauki Sabzi (120g) [385 kcal, 14g P, 58g C, 8.5g F, ₹35]</t>
        </is>
      </c>
      <c r="P162" s="8" t="inlineStr">
        <is>
          <t>Optional Pre: 1 cup tender coconut water [45 kcal] • Post: 1 glass warm milk (150ml) [85 kcal, 5g P]</t>
        </is>
      </c>
      <c r="Q162" s="9" t="n">
        <v>1470</v>
      </c>
      <c r="R162" s="9" t="n">
        <v>82</v>
      </c>
      <c r="S162" s="9" t="n">
        <v>174</v>
      </c>
      <c r="T162" s="9" t="n">
        <v>47.5</v>
      </c>
      <c r="U162" s="9" t="n">
        <v>192</v>
      </c>
      <c r="V162" s="8" t="inlineStr">
        <is>
          <t>Mix ragi flour with equal water, pinch of salt, cumin seeds &amp; chopped onion. Pour on medium hot tawa. Cook vegetables in minimum oil with mustard seeds, curry leaves &amp; grated fresh coconut.</t>
        </is>
      </c>
    </row>
    <row r="163" ht="36" customHeight="1">
      <c r="A163" s="10" t="inlineStr">
        <is>
          <t>2027-04-03</t>
        </is>
      </c>
      <c r="B163" s="10" t="n">
        <v>162</v>
      </c>
      <c r="C163" s="10" t="inlineStr">
        <is>
          <t>Saturday</t>
        </is>
      </c>
      <c r="D163" s="11" t="inlineStr">
        <is>
          <t>High-Fiber Soya Chunks &amp; Comfort Idli Sambar</t>
        </is>
      </c>
      <c r="E163" s="11" t="inlineStr">
        <is>
          <t>Steamed Idlis (3 pcs, 110g) + Vegetable Sambar (150ml) + 2 Boiled Eggs [340 kcal, 19g P, 38g C, 12g F, ₹35]</t>
        </is>
      </c>
      <c r="F163" s="11" t="inlineStr">
        <is>
          <t>Vegetable Poha (160g cooked) + 1 Boiled Egg [310 kcal, 12g P, 44g C, 9g F, ₹26]</t>
        </is>
      </c>
      <c r="G163" s="11" t="inlineStr">
        <is>
          <t>Rolled Oats cooked in toned milk (40g + 180ml milk) with 1/2 apple [290 kcal, 12g P, 45g C, 6g F, ₹30]</t>
        </is>
      </c>
      <c r="H163" s="11" t="inlineStr">
        <is>
          <t>Spiced Buttermilk / Majjige (220ml) with curry leaves &amp; ginger [45 kcal, 3g P, 4g C, 1.5g F, ₹15] | Alt: Fresh Papaya slices (150g) + 5 almonds [110 kcal, 3g P, 22g C, 3g F, ₹28]</t>
        </is>
      </c>
      <c r="I163" s="11" t="inlineStr">
        <is>
          <t>Sona Masoori Rice (150g cooked) + Soya Chunks Curry (45g dry soya chunks cooked in onion-tomato gravy) + French Beans Palya (130g) + Rasam [460 kcal, 31g P, 56g C, 9g F, ₹42]</t>
        </is>
      </c>
      <c r="J163" s="11" t="inlineStr">
        <is>
          <t>2 Phulkas (80g) + Chicken Curry (95g meat) + Cabbage Poriyal (120g) [440 kcal, 31g P, 44g C, 13g F, ₹65]</t>
        </is>
      </c>
      <c r="K163" s="11" t="inlineStr">
        <is>
          <t>Rice (150g) + Thick Toor Dal (180g) + 2 Boiled Eggs + Ridge Gourd Palya (120g) [455 kcal, 24g P, 52g C, 14g F, ₹40]</t>
        </is>
      </c>
      <c r="L163" s="11" t="inlineStr">
        <is>
          <t>Roasted Kadale / Chana (30g) + Hot Elaichi Tea (100ml milk) [140 kcal, 6g P, 20g C, 3.5g F, ₹18] | Alt: Roasted Makhana (30g) in ghee &amp; rock salt [130 kcal, 3g P, 21g C, 3.5g F, ₹25]</t>
        </is>
      </c>
      <c r="M163" s="11" t="inlineStr">
        <is>
          <t>2 Soft Phulkas (75g) + 2 Boiled Eggs in Mild Curry + Cucumber Carrot Salad (120g) [415 kcal, 21g P, 42g C, 15g F, ₹38]</t>
        </is>
      </c>
      <c r="N163" s="11" t="inlineStr">
        <is>
          <t>2 Phulkas (75g) + Paneer Bhurji (90g paneer, capsicum, tomato) + Warm Soup [445 kcal, 20g P, 44g C, 19g F, ₹58]</t>
        </is>
      </c>
      <c r="O163" s="11" t="inlineStr">
        <is>
          <t>2 Ragi Rotis (120g) + Chicken Curry (90g meat) + Cucumber Slices [425 kcal, 30g P, 46g C, 11g F, ₹68]</t>
        </is>
      </c>
      <c r="P163" s="11" t="inlineStr">
        <is>
          <t>Optional Pre: 1 small banana [70 kcal] • Post: 1 glass warm milk [90 kcal, 6g P]</t>
        </is>
      </c>
      <c r="Q163" s="12" t="n">
        <v>1400</v>
      </c>
      <c r="R163" s="12" t="n">
        <v>80</v>
      </c>
      <c r="S163" s="12" t="n">
        <v>160</v>
      </c>
      <c r="T163" s="12" t="n">
        <v>41</v>
      </c>
      <c r="U163" s="12" t="n">
        <v>151</v>
      </c>
      <c r="V163" s="11" t="inlineStr">
        <is>
          <t>Dip idlis in piping hot sambar. Eggs provide complete amino acid profile. Soak soya chunks in warm water for 15 mins. Squeeze out bitter water completely before cooking.</t>
        </is>
      </c>
    </row>
    <row r="164" ht="36" customHeight="1">
      <c r="A164" s="7" t="inlineStr">
        <is>
          <t>2027-04-04</t>
        </is>
      </c>
      <c r="B164" s="7" t="n">
        <v>163</v>
      </c>
      <c r="C164" s="7" t="inlineStr">
        <is>
          <t>Sunday</t>
        </is>
      </c>
      <c r="D164" s="8" t="inlineStr">
        <is>
          <t>Comfort Steamed Staples &amp; Bengaluru Chicken Curry</t>
        </is>
      </c>
      <c r="E164" s="8" t="inlineStr">
        <is>
          <t>Steamed Idlis (3 pcs, 110g) + Veg Sambar (150ml) + 2 Boiled Eggs (100g) [340 kcal, 19g P, 38g C, 12g F, ₹35]</t>
        </is>
      </c>
      <c r="F164" s="8" t="inlineStr">
        <is>
          <t>Steamed Idlis (3 pcs) + Veg Sambar + 1 cup warm sprouted moong salad (100g) [310 kcal, 13g P, 46g C, 5g F, ₹25]</t>
        </is>
      </c>
      <c r="G164" s="8" t="inlineStr">
        <is>
          <t>Ragi Dosa (2 medium, 120g) + Mint Chutney (30g) + 1 Boiled Egg [320 kcal, 14g P, 42g C, 11g F, ₹28]</t>
        </is>
      </c>
      <c r="H164" s="8" t="inlineStr">
        <is>
          <t>Tender Coconut Water (220ml) + Handful Roasted Chana (25g) [130 kcal, 5g P, 22g C, 2g F, ₹40] | Alt: Fresh Papaya slices (150g) + 5 soaked almonds [110 kcal, 3g P, 22g C, 3g F, ₹30]</t>
        </is>
      </c>
      <c r="I164" s="8" t="inlineStr">
        <is>
          <t>Sona Masoori Rice (150g cooked / 55g raw) + Bengaluru Chicken Curry (130g raw / 95g cooked meat) + French Beans Palya (130g) + Pepper Rasam [475 kcal, 34g P, 48g C, 14g F, ₹75]</t>
        </is>
      </c>
      <c r="J164" s="8" t="inlineStr">
        <is>
          <t>2 Soft Wheat Phulkas (80g) + Homestyle Egg Curry (2 eggs in onion-tomato gravy) + Cabbage Poriyal (140g) [440 kcal, 21g P, 48g C, 16g F, ₹40]</t>
        </is>
      </c>
      <c r="K164" s="8" t="inlineStr">
        <is>
          <t>Sona Masoori Rice (150g) + Thick Toor Dal Tadka (180g) + Paneer Palya (80g paneer) + Fresh Curd (100g) [480 kcal, 23g P, 54g C, 18g F, ₹55]</t>
        </is>
      </c>
      <c r="L164" s="8" t="inlineStr">
        <is>
          <t>Spiced Boiled Sundal / Chickpeas (80g) with mustard tempering &amp; lemon [140 kcal, 7g P, 22g C, 3g F, ₹20] | Alt: Roasted Makhana (30g) in 1/2 tsp ghee &amp; rock salt [130 kcal, 3g P, 21g C, 3.5g F, ₹25]</t>
        </is>
      </c>
      <c r="M164" s="8" t="inlineStr">
        <is>
          <t>2 Soft Whole Wheat Phulkas (75g) + Grilled/Pan Chicken Curry (100g meat) + Cucumber Tomato Salad (120g) [420 kcal, 31g P, 42g C, 12g F, ₹65]</t>
        </is>
      </c>
      <c r="N164" s="8" t="inlineStr">
        <is>
          <t>2 Phulkas (75g) + Fresh Paneer Bhurji (90g paneer with capsicum &amp; onion) + Tomato Clear Soup [440 kcal, 20g P, 42g C, 20g F, ₹55]</t>
        </is>
      </c>
      <c r="O164" s="8" t="inlineStr">
        <is>
          <t>Warm Rice-Moong Dal Khichdi (220g) + Fresh Curd (100g) + Steamed Beetroot Poriyal (100g) [380 kcal, 14g P, 58g C, 8g F, ₹35]</t>
        </is>
      </c>
      <c r="P164" s="8" t="inlineStr">
        <is>
          <t>Optional Pre: 1 small banana (80g) [70 kcal] • Post: 1 glass warm toned milk with turmeric (180ml) [95 kcal, 6g P]</t>
        </is>
      </c>
      <c r="Q164" s="9" t="n">
        <v>1505</v>
      </c>
      <c r="R164" s="9" t="n">
        <v>96</v>
      </c>
      <c r="S164" s="9" t="n">
        <v>172</v>
      </c>
      <c r="T164" s="9" t="n">
        <v>43</v>
      </c>
      <c r="U164" s="9" t="n">
        <v>235</v>
      </c>
      <c r="V164" s="8" t="inlineStr">
        <is>
          <t>Steam idlis in idli cooker for 10-12 mins. Weigh 110g cooked on kitchen scale. Zero plate on scale, measure 150g warm rice, then add 95g cooked chicken meat without bones.</t>
        </is>
      </c>
    </row>
    <row r="165" ht="36" customHeight="1">
      <c r="A165" s="10" t="inlineStr">
        <is>
          <t>2027-04-05</t>
        </is>
      </c>
      <c r="B165" s="10" t="n">
        <v>164</v>
      </c>
      <c r="C165" s="10" t="inlineStr">
        <is>
          <t>Monday</t>
        </is>
      </c>
      <c r="D165" s="11" t="inlineStr">
        <is>
          <t>Iron-Rich Poha, Egg Curry &amp; Golden Turmeric Phulkas</t>
        </is>
      </c>
      <c r="E165" s="11" t="inlineStr">
        <is>
          <t>Vegetable Poha (160g cooked) tempered with mustard &amp; roasted peanuts (15g) + 1 Boiled Egg [330 kcal, 13g P, 44g C, 11g F, ₹28]</t>
        </is>
      </c>
      <c r="F165" s="11" t="inlineStr">
        <is>
          <t>Vegetable Poha (180g) + 1 glass warm toned milk (150ml) [310 kcal, 11g P, 48g C, 8g F, ₹24]</t>
        </is>
      </c>
      <c r="G165" s="11" t="inlineStr">
        <is>
          <t>Rolled Oats cooked in milk (40g oats + 180ml toned milk) with half diced apple [290 kcal, 12g P, 45g C, 6g F, ₹30]</t>
        </is>
      </c>
      <c r="H165" s="11" t="inlineStr">
        <is>
          <t>Spiced Majjige / Buttermilk (220ml) with grated ginger &amp; curry leaves [45 kcal, 3g P, 4g C, 1.5g F, ₹15] | Alt: 1 Crisp Guava or Apple (130g) with pinch of rock salt [75 kcal, 1.5g P, 18g C, 0.5g F, ₹20]</t>
        </is>
      </c>
      <c r="I165" s="11" t="inlineStr">
        <is>
          <t>2 Soft Phulkas (80g) + 2 Boiled Eggs in Onion-Tomato Gravy (120g gravy) + Ridge Gourd (Heerekayi) Palya (140g) [450 kcal, 22g P, 48g C, 17g F, ₹45]</t>
        </is>
      </c>
      <c r="J165" s="11" t="inlineStr">
        <is>
          <t>Sona Masoori Rice (150g) + Fish Curry (120g rohu/pomfret in light coconut gravy) + Beans Poriyal (120g) [460 kcal, 32g P, 46g C, 13g F, ₹80]</t>
        </is>
      </c>
      <c r="K165" s="11" t="inlineStr">
        <is>
          <t>Cooked Rice (150g) + Mixed Vegetable Sambar (180g) + Pan-seared Tofu or Paneer (80g) + Cucumber Slices [465 kcal, 21g P, 52g C, 17g F, ₹55]</t>
        </is>
      </c>
      <c r="L165" s="11" t="inlineStr">
        <is>
          <t>Boiled Sweet Corn (120g) with lemon squeeze &amp; chaat masala [120 kcal, 4g P, 24g C, 1.5g F, ₹20] | Alt: Roasted Kadale / Chana (30g) + Warm Elaichi Green Tea [125 kcal, 6g P, 18g C, 2.5g F, ₹15]</t>
        </is>
      </c>
      <c r="M165" s="11" t="inlineStr">
        <is>
          <t>2 Soft Phulkas (75g) + Fresh Paneer Bhurji (90g paneer, capsicum, tomato) + Warm Tomato Rasam (150ml) [445 kcal, 21g P, 44g C, 19g F, ₹60]</t>
        </is>
      </c>
      <c r="N165" s="11" t="inlineStr">
        <is>
          <t>2 Ragi Rotis (130g) + Chicken Curry (90g cooked meat) + Onion Cucumber Raita (80g) [430 kcal, 30g P, 46g C, 11g F, ₹70]</t>
        </is>
      </c>
      <c r="O165" s="11" t="inlineStr">
        <is>
          <t>Moong Dal Vegetable Dalia Khichdi (220g) + Fresh Curd (100g) [390 kcal, 16g P, 54g C, 9g F, ₹35]</t>
        </is>
      </c>
      <c r="P165" s="11" t="inlineStr">
        <is>
          <t>Optional Pre: 2 Medjool dates [80 kcal] • Post: 1 boiled egg white or 100g warm milk [55 kcal, 4g P]</t>
        </is>
      </c>
      <c r="Q165" s="12" t="n">
        <v>1390</v>
      </c>
      <c r="R165" s="12" t="n">
        <v>63</v>
      </c>
      <c r="S165" s="12" t="n">
        <v>164</v>
      </c>
      <c r="T165" s="12" t="n">
        <v>50</v>
      </c>
      <c r="U165" s="12" t="n">
        <v>168</v>
      </c>
      <c r="V165" s="11" t="inlineStr">
        <is>
          <t>Rinse thick poha in colander, drain well. Sauté with onion, curry leaves, carrots &amp; roasted peanuts. Prick boiled eggs gently before simmering in gravy to absorb rich flavours.</t>
        </is>
      </c>
    </row>
    <row r="166" ht="36" customHeight="1">
      <c r="A166" s="7" t="inlineStr">
        <is>
          <t>2027-04-06</t>
        </is>
      </c>
      <c r="B166" s="7" t="n">
        <v>165</v>
      </c>
      <c r="C166" s="7" t="inlineStr">
        <is>
          <t>Tuesday</t>
        </is>
      </c>
      <c r="D166" s="8" t="inlineStr">
        <is>
          <t>Bengaluru Rava Upma &amp; Fresh Coastal Home Curry</t>
        </is>
      </c>
      <c r="E166" s="8" t="inlineStr">
        <is>
          <t>Bengaluru Vegetable Rava Upma (180g cooked) with roasted peanuts + 1 Boiled Egg [340 kcal, 14g P, 44g C, 12g F, ₹26]</t>
        </is>
      </c>
      <c r="F166" s="8" t="inlineStr">
        <is>
          <t>Vegetable Upma (180g) + 1 glass warm toned milk (150ml) [320 kcal, 11g P, 48g C, 9g F, ₹24]</t>
        </is>
      </c>
      <c r="G166" s="8" t="inlineStr">
        <is>
          <t>Steamed Idlis (3 pcs) with Mint Toor Dal Chutney (40g) + 1 Boiled Egg [320 kcal, 15g P, 42g C, 9g F, ₹28]</t>
        </is>
      </c>
      <c r="H166" s="8" t="inlineStr">
        <is>
          <t>Fresh Fruit Bowl (150g watermelon or papaya) + 6 soaked almonds [110 kcal, 3g P, 22g C, 3g F, ₹30] | Alt: Tender Coconut Water (220ml) [45 kcal, 1g P, 10g C, 0g F, ₹35]</t>
        </is>
      </c>
      <c r="I166" s="8" t="inlineStr">
        <is>
          <t>Sona Masoori Rice (150g cooked) + Bengaluru Fish Curry (120g fresh fish in light gravy) + Cabbage &amp; Pea Poriyal (130g) + Rasam [450 kcal, 33g P, 46g C, 13g F, ₹80]</t>
        </is>
      </c>
      <c r="J166" s="8" t="inlineStr">
        <is>
          <t>2 Phulkas (80g) + Chicken Curry (95g cooked meat) + Cucumber Carrot Salad (100g) [440 kcal, 31g P, 44g C, 13g F, ₹65]</t>
        </is>
      </c>
      <c r="K166" s="8" t="inlineStr">
        <is>
          <t>Rice (150g) + Thick Chana Dal (180g) + Beans Palya (130g) + Fresh Curd (100g) [470 kcal, 22g P, 56g C, 15g F, ₹45]</t>
        </is>
      </c>
      <c r="L166" s="8" t="inlineStr">
        <is>
          <t>Roasted Puri Kadale / Chana (30g) + Warm Ginger Tea (100ml low-fat milk) [140 kcal, 6g P, 20g C, 3.5g F, ₹18] | Alt: Spiced Boiled Moong Sprouts (80g) with lime &amp; salt [110 kcal, 7g P, 18g C, 1g F, ₹15]</t>
        </is>
      </c>
      <c r="M166" s="8" t="inlineStr">
        <is>
          <t>2 Soft Phulkas (75g) + Soya Chunks &amp; Green Pea Curry (45g dry soya + 50g peas) + Fresh Curd (80g) [420 kcal, 29g P, 48g C, 9g F, ₹40]</t>
        </is>
      </c>
      <c r="N166" s="8" t="inlineStr">
        <is>
          <t>2 Phulkas (75g) + 2 Boiled Eggs in Homestyle Curry (100g) + Sliced Cucumber [410 kcal, 21g P, 42g C, 15g F, ₹38]</t>
        </is>
      </c>
      <c r="O166" s="8" t="inlineStr">
        <is>
          <t>2 Ragi Rotis (120g) + Mixed Vegetable Sambar (180ml) + Sautéed Palak (100g) [380 kcal, 14g P, 54g C, 8g F, ₹30]</t>
        </is>
      </c>
      <c r="P166" s="8" t="inlineStr">
        <is>
          <t>Optional Pre: 1 cup tender coconut water [45 kcal] • Post: 1 glass warm milk (150ml) [85 kcal, 5g P]</t>
        </is>
      </c>
      <c r="Q166" s="9" t="n">
        <v>1460</v>
      </c>
      <c r="R166" s="9" t="n">
        <v>85</v>
      </c>
      <c r="S166" s="9" t="n">
        <v>180</v>
      </c>
      <c r="T166" s="9" t="n">
        <v>40.5</v>
      </c>
      <c r="U166" s="9" t="n">
        <v>194</v>
      </c>
      <c r="V166" s="8" t="inlineStr">
        <is>
          <t>Dry roast semolina lightly. Tempered with mustard seeds, chana dal, green chillies &amp; mixed veggies. Use fresh local fish cuts (rohu, pomfret, or seer fish). Simmer gently for 8 mins.</t>
        </is>
      </c>
    </row>
    <row r="167" ht="36" customHeight="1">
      <c r="A167" s="10" t="inlineStr">
        <is>
          <t>2027-04-07</t>
        </is>
      </c>
      <c r="B167" s="10" t="n">
        <v>166</v>
      </c>
      <c r="C167" s="10" t="inlineStr">
        <is>
          <t>Wednesday</t>
        </is>
      </c>
      <c r="D167" s="11" t="inlineStr">
        <is>
          <t>Nourishing Rolled Oats &amp; Tender Chicken Palya</t>
        </is>
      </c>
      <c r="E167" s="11" t="inlineStr">
        <is>
          <t>Warm Rolled Oats (40g dry + 180ml toned milk) + 1 Boiled Egg + Apple slices (50g) [345 kcal, 18g P, 46g C, 10g F, ₹35]</t>
        </is>
      </c>
      <c r="F167" s="11" t="inlineStr">
        <is>
          <t>Vegetable Poha (160g cooked) + 2 Boiled Eggs [360 kcal, 18g P, 42g C, 14g F, ₹32]</t>
        </is>
      </c>
      <c r="G167" s="11" t="inlineStr">
        <is>
          <t>2 Plain Dosas (120g) + Toor Dal Sambar (150ml) + 1 cup warm sprouted moong [330 kcal, 14g P, 48g C, 7g F, ₹25]</t>
        </is>
      </c>
      <c r="H167" s="11" t="inlineStr">
        <is>
          <t>Tender Coconut Water (220ml) + 5 Soaked Almonds [95 kcal, 3g P, 12g C, 4g F, ₹40] | Alt: Fresh Spiced Buttermilk (220ml) with coriander &amp; rock salt [45 kcal, 3g P, 4g C, 1.5g F, ₹15]</t>
        </is>
      </c>
      <c r="I167" s="11" t="inlineStr">
        <is>
          <t>Sona Masoori Rice (150g cooked) + Tender Chicken Curry (130g raw / 95g meat) + Palak (Spinach) Palya (140g) + Rasam [470 kcal, 35g P, 46g C, 13g F, ₹75]</t>
        </is>
      </c>
      <c r="J167" s="11" t="inlineStr">
        <is>
          <t>2 Soft Phulkas (80g) + Fresh Paneer Curry (85g paneer in light gravy) + French Beans Palya (120g) [450 kcal, 21g P, 44g C, 19g F, ₹55]</t>
        </is>
      </c>
      <c r="K167" s="11" t="inlineStr">
        <is>
          <t>Rice (150g) + Toor Dal Tadka (180g) + 2 Boiled Eggs + Beetroot Poriyal (120g) [460 kcal, 25g P, 52g C, 14g F, ₹42]</t>
        </is>
      </c>
      <c r="L167" s="11" t="inlineStr">
        <is>
          <t>Roasted Makhana (30g) + Hot Green Tea with lemon [130 kcal, 3g P, 21g C, 3.5g F, ₹25] | Alt: Boiled Chickpeas Sundal (70g) with mustard &amp; curry leaves [125 kcal, 6g P, 20g C, 2.5g F, ₹18]</t>
        </is>
      </c>
      <c r="M167" s="11" t="inlineStr">
        <is>
          <t>2 Soft Phulkas (75g) + 2 Boiled Eggs in Tomato Onion Curry + Cucumber Salad (100g) [415 kcal, 21g P, 42g C, 15g F, ₹38]</t>
        </is>
      </c>
      <c r="N167" s="11" t="inlineStr">
        <is>
          <t>2 Phulkas (75g) + Grilled Chicken Strips (100g cooked) + Mixed Sautéed Capsicum &amp; Onions [425 kcal, 32g P, 40g C, 11g F, ₹65]</t>
        </is>
      </c>
      <c r="O167" s="11" t="inlineStr">
        <is>
          <t>Warm Moong Dal Vegetable Khichdi (220g) + Fresh Curd (100g) [380 kcal, 15g P, 56g C, 8g F, ₹35]</t>
        </is>
      </c>
      <c r="P167" s="11" t="inlineStr">
        <is>
          <t>Optional Pre: 1 small banana [70 kcal] • Post: 1 cup warm turmeric milk [90 kcal, 6g P]</t>
        </is>
      </c>
      <c r="Q167" s="12" t="n">
        <v>1455</v>
      </c>
      <c r="R167" s="12" t="n">
        <v>80</v>
      </c>
      <c r="S167" s="12" t="n">
        <v>167</v>
      </c>
      <c r="T167" s="12" t="n">
        <v>45.5</v>
      </c>
      <c r="U167" s="12" t="n">
        <v>213</v>
      </c>
      <c r="V167" s="11" t="inlineStr">
        <is>
          <t>Cook oats in milk for 4 mins on medium flame. Stir in pinch of cinnamon powder. Weigh raw boneless chicken (130g). Steam spinach lightly with mustard tempering.</t>
        </is>
      </c>
    </row>
    <row r="168" ht="36" customHeight="1">
      <c r="A168" s="7" t="inlineStr">
        <is>
          <t>2027-04-08</t>
        </is>
      </c>
      <c r="B168" s="7" t="n">
        <v>167</v>
      </c>
      <c r="C168" s="7" t="inlineStr">
        <is>
          <t>Thursday</t>
        </is>
      </c>
      <c r="D168" s="8" t="inlineStr">
        <is>
          <t>Calcium-Rich Ragi Dosa &amp; Fresh Country Egg Feast</t>
        </is>
      </c>
      <c r="E168" s="8" t="inlineStr">
        <is>
          <t>Ragi Dosa (2 medium, 120g) + Coconut Mint Chutney (30g) + 2 Boiled Eggs [350 kcal, 19g P, 40g C, 13g F, ₹35]</t>
        </is>
      </c>
      <c r="F168" s="8" t="inlineStr">
        <is>
          <t>Steamed Idlis (3 pcs, 110g) + Vegetable Sambar (150ml) + 1 Boiled Egg [310 kcal, 13g P, 44g C, 8g F, ₹25]</t>
        </is>
      </c>
      <c r="G168" s="8" t="inlineStr">
        <is>
          <t>Vegetable Upma (180g) + Warm Toned Milk (150ml) [320 kcal, 11g P, 48g C, 9g F, ₹22]</t>
        </is>
      </c>
      <c r="H168" s="8" t="inlineStr">
        <is>
          <t>Fresh Seasonal Fruit (1 Medium Apple or 150g Papaya) + 6 Almonds [115 kcal, 3g P, 22g C, 3.5g F, ₹30] | Alt: Tender Coconut Water (220ml) [45 kcal, 1g P, 10g C, 0g F, ₹35]</t>
        </is>
      </c>
      <c r="I168" s="8" t="inlineStr">
        <is>
          <t>2 Soft Phulkas (80g) + Homestyle Egg Curry (2 eggs) + Cabbage &amp; Carrot Poriyal (140g) + Rasam [445 kcal, 22g P, 48g C, 16g F, ₹42]</t>
        </is>
      </c>
      <c r="J168" s="8" t="inlineStr">
        <is>
          <t>Sona Masoori Rice (150g) + Bengaluru Chicken Curry (95g meat) + Beans Palya (120g) [475 kcal, 34g P, 48g C, 14g F, ₹75]</t>
        </is>
      </c>
      <c r="K168" s="8" t="inlineStr">
        <is>
          <t>Rice (150g) + Thick Toor Dal Tadka (180g) + Fresh Curd (100g) + Tomato Cucumber Salad [440 kcal, 18g P, 56g C, 14g F, ₹40]</t>
        </is>
      </c>
      <c r="L168" s="8" t="inlineStr">
        <is>
          <t>Spiced Boiled Sundal / Chickpeas (80g) with lime [140 kcal, 7g P, 22g C, 3g F, ₹20] | Alt: Roasted Makhana (30g) in 1/2 tsp ghee &amp; rock salt [130 kcal, 3g P, 21g C, 3.5g F, ₹25]</t>
        </is>
      </c>
      <c r="M168" s="8" t="inlineStr">
        <is>
          <t>2 Soft Phulkas (75g) + Home Chicken Curry (100g meat) + Cucumber Salad (100g) [420 kcal, 31g P, 42g C, 12g F, ₹65]</t>
        </is>
      </c>
      <c r="N168" s="8" t="inlineStr">
        <is>
          <t>2 Phulkas (75g) + Fresh Paneer Bhurji (90g paneer, capsicum, onion) + Clear Soup [440 kcal, 20g P, 42g C, 20g F, ₹55]</t>
        </is>
      </c>
      <c r="O168" s="8" t="inlineStr">
        <is>
          <t>Rice-Moong Dal Khichdi (220g) + Curd (100g) + Lauki Sabzi (120g) [385 kcal, 14g P, 58g C, 8.5g F, ₹35]</t>
        </is>
      </c>
      <c r="P168" s="8" t="inlineStr">
        <is>
          <t>Optional Pre: 1 cup tender coconut water [45 kcal] • Post: 1 glass warm milk (150ml) [85 kcal, 5g P]</t>
        </is>
      </c>
      <c r="Q168" s="9" t="n">
        <v>1470</v>
      </c>
      <c r="R168" s="9" t="n">
        <v>82</v>
      </c>
      <c r="S168" s="9" t="n">
        <v>174</v>
      </c>
      <c r="T168" s="9" t="n">
        <v>47.5</v>
      </c>
      <c r="U168" s="9" t="n">
        <v>192</v>
      </c>
      <c r="V168" s="8" t="inlineStr">
        <is>
          <t>Mix ragi flour with equal water, pinch of salt, cumin seeds &amp; chopped onion. Pour on medium hot tawa. Cook vegetables in minimum oil with mustard seeds, curry leaves &amp; grated fresh coconut.</t>
        </is>
      </c>
    </row>
    <row r="169" ht="36" customHeight="1">
      <c r="A169" s="10" t="inlineStr">
        <is>
          <t>2027-04-09</t>
        </is>
      </c>
      <c r="B169" s="10" t="n">
        <v>168</v>
      </c>
      <c r="C169" s="10" t="inlineStr">
        <is>
          <t>Friday</t>
        </is>
      </c>
      <c r="D169" s="11" t="inlineStr">
        <is>
          <t>High-Fiber Soya Chunks &amp; Comfort Idli Sambar</t>
        </is>
      </c>
      <c r="E169" s="11" t="inlineStr">
        <is>
          <t>Steamed Idlis (3 pcs, 110g) + Vegetable Sambar (150ml) + 2 Boiled Eggs [340 kcal, 19g P, 38g C, 12g F, ₹35]</t>
        </is>
      </c>
      <c r="F169" s="11" t="inlineStr">
        <is>
          <t>Vegetable Poha (160g cooked) + 1 Boiled Egg [310 kcal, 12g P, 44g C, 9g F, ₹26]</t>
        </is>
      </c>
      <c r="G169" s="11" t="inlineStr">
        <is>
          <t>Rolled Oats cooked in toned milk (40g + 180ml milk) with 1/2 apple [290 kcal, 12g P, 45g C, 6g F, ₹30]</t>
        </is>
      </c>
      <c r="H169" s="11" t="inlineStr">
        <is>
          <t>Spiced Buttermilk / Majjige (220ml) with curry leaves &amp; ginger [45 kcal, 3g P, 4g C, 1.5g F, ₹15] | Alt: Fresh Papaya slices (150g) + 5 almonds [110 kcal, 3g P, 22g C, 3g F, ₹28]</t>
        </is>
      </c>
      <c r="I169" s="11" t="inlineStr">
        <is>
          <t>Sona Masoori Rice (150g cooked) + Soya Chunks Curry (45g dry soya chunks cooked in onion-tomato gravy) + French Beans Palya (130g) + Rasam [460 kcal, 31g P, 56g C, 9g F, ₹42]</t>
        </is>
      </c>
      <c r="J169" s="11" t="inlineStr">
        <is>
          <t>2 Phulkas (80g) + Chicken Curry (95g meat) + Cabbage Poriyal (120g) [440 kcal, 31g P, 44g C, 13g F, ₹65]</t>
        </is>
      </c>
      <c r="K169" s="11" t="inlineStr">
        <is>
          <t>Rice (150g) + Thick Toor Dal (180g) + 2 Boiled Eggs + Ridge Gourd Palya (120g) [455 kcal, 24g P, 52g C, 14g F, ₹40]</t>
        </is>
      </c>
      <c r="L169" s="11" t="inlineStr">
        <is>
          <t>Roasted Kadale / Chana (30g) + Hot Elaichi Tea (100ml milk) [140 kcal, 6g P, 20g C, 3.5g F, ₹18] | Alt: Roasted Makhana (30g) in ghee &amp; rock salt [130 kcal, 3g P, 21g C, 3.5g F, ₹25]</t>
        </is>
      </c>
      <c r="M169" s="11" t="inlineStr">
        <is>
          <t>2 Soft Phulkas (75g) + 2 Boiled Eggs in Mild Curry + Cucumber Carrot Salad (120g) [415 kcal, 21g P, 42g C, 15g F, ₹38]</t>
        </is>
      </c>
      <c r="N169" s="11" t="inlineStr">
        <is>
          <t>2 Phulkas (75g) + Paneer Bhurji (90g paneer, capsicum, tomato) + Warm Soup [445 kcal, 20g P, 44g C, 19g F, ₹58]</t>
        </is>
      </c>
      <c r="O169" s="11" t="inlineStr">
        <is>
          <t>2 Ragi Rotis (120g) + Chicken Curry (90g meat) + Cucumber Slices [425 kcal, 30g P, 46g C, 11g F, ₹68]</t>
        </is>
      </c>
      <c r="P169" s="11" t="inlineStr">
        <is>
          <t>Optional Pre: 1 small banana [70 kcal] • Post: 1 glass warm milk [90 kcal, 6g P]</t>
        </is>
      </c>
      <c r="Q169" s="12" t="n">
        <v>1400</v>
      </c>
      <c r="R169" s="12" t="n">
        <v>80</v>
      </c>
      <c r="S169" s="12" t="n">
        <v>160</v>
      </c>
      <c r="T169" s="12" t="n">
        <v>41</v>
      </c>
      <c r="U169" s="12" t="n">
        <v>151</v>
      </c>
      <c r="V169" s="11" t="inlineStr">
        <is>
          <t>Dip idlis in piping hot sambar. Eggs provide complete amino acid profile. Soak soya chunks in warm water for 15 mins. Squeeze out bitter water completely before cooking.</t>
        </is>
      </c>
    </row>
    <row r="170" ht="36" customHeight="1">
      <c r="A170" s="7" t="inlineStr">
        <is>
          <t>2027-04-10</t>
        </is>
      </c>
      <c r="B170" s="7" t="n">
        <v>169</v>
      </c>
      <c r="C170" s="7" t="inlineStr">
        <is>
          <t>Saturday</t>
        </is>
      </c>
      <c r="D170" s="8" t="inlineStr">
        <is>
          <t>Comfort Steamed Staples &amp; Bengaluru Chicken Curry</t>
        </is>
      </c>
      <c r="E170" s="8" t="inlineStr">
        <is>
          <t>Steamed Idlis (3 pcs, 110g) + Veg Sambar (150ml) + 2 Boiled Eggs (100g) [340 kcal, 19g P, 38g C, 12g F, ₹35]</t>
        </is>
      </c>
      <c r="F170" s="8" t="inlineStr">
        <is>
          <t>Steamed Idlis (3 pcs) + Veg Sambar + 1 cup warm sprouted moong salad (100g) [310 kcal, 13g P, 46g C, 5g F, ₹25]</t>
        </is>
      </c>
      <c r="G170" s="8" t="inlineStr">
        <is>
          <t>Ragi Dosa (2 medium, 120g) + Mint Chutney (30g) + 1 Boiled Egg [320 kcal, 14g P, 42g C, 11g F, ₹28]</t>
        </is>
      </c>
      <c r="H170" s="8" t="inlineStr">
        <is>
          <t>Tender Coconut Water (220ml) + Handful Roasted Chana (25g) [130 kcal, 5g P, 22g C, 2g F, ₹40] | Alt: Fresh Papaya slices (150g) + 5 soaked almonds [110 kcal, 3g P, 22g C, 3g F, ₹30]</t>
        </is>
      </c>
      <c r="I170" s="8" t="inlineStr">
        <is>
          <t>Sona Masoori Rice (150g cooked / 55g raw) + Bengaluru Chicken Curry (130g raw / 95g cooked meat) + French Beans Palya (130g) + Pepper Rasam [475 kcal, 34g P, 48g C, 14g F, ₹75]</t>
        </is>
      </c>
      <c r="J170" s="8" t="inlineStr">
        <is>
          <t>2 Soft Wheat Phulkas (80g) + Homestyle Egg Curry (2 eggs in onion-tomato gravy) + Cabbage Poriyal (140g) [440 kcal, 21g P, 48g C, 16g F, ₹40]</t>
        </is>
      </c>
      <c r="K170" s="8" t="inlineStr">
        <is>
          <t>Sona Masoori Rice (150g) + Thick Toor Dal Tadka (180g) + Paneer Palya (80g paneer) + Fresh Curd (100g) [480 kcal, 23g P, 54g C, 18g F, ₹55]</t>
        </is>
      </c>
      <c r="L170" s="8" t="inlineStr">
        <is>
          <t>Spiced Boiled Sundal / Chickpeas (80g) with mustard tempering &amp; lemon [140 kcal, 7g P, 22g C, 3g F, ₹20] | Alt: Roasted Makhana (30g) in 1/2 tsp ghee &amp; rock salt [130 kcal, 3g P, 21g C, 3.5g F, ₹25]</t>
        </is>
      </c>
      <c r="M170" s="8" t="inlineStr">
        <is>
          <t>2 Soft Whole Wheat Phulkas (75g) + Grilled/Pan Chicken Curry (100g meat) + Cucumber Tomato Salad (120g) [420 kcal, 31g P, 42g C, 12g F, ₹65]</t>
        </is>
      </c>
      <c r="N170" s="8" t="inlineStr">
        <is>
          <t>2 Phulkas (75g) + Fresh Paneer Bhurji (90g paneer with capsicum &amp; onion) + Tomato Clear Soup [440 kcal, 20g P, 42g C, 20g F, ₹55]</t>
        </is>
      </c>
      <c r="O170" s="8" t="inlineStr">
        <is>
          <t>Warm Rice-Moong Dal Khichdi (220g) + Fresh Curd (100g) + Steamed Beetroot Poriyal (100g) [380 kcal, 14g P, 58g C, 8g F, ₹35]</t>
        </is>
      </c>
      <c r="P170" s="8" t="inlineStr">
        <is>
          <t>Optional Pre: 1 small banana (80g) [70 kcal] • Post: 1 glass warm toned milk with turmeric (180ml) [95 kcal, 6g P]</t>
        </is>
      </c>
      <c r="Q170" s="9" t="n">
        <v>1505</v>
      </c>
      <c r="R170" s="9" t="n">
        <v>96</v>
      </c>
      <c r="S170" s="9" t="n">
        <v>172</v>
      </c>
      <c r="T170" s="9" t="n">
        <v>43</v>
      </c>
      <c r="U170" s="9" t="n">
        <v>235</v>
      </c>
      <c r="V170" s="8" t="inlineStr">
        <is>
          <t>Steam idlis in idli cooker for 10-12 mins. Weigh 110g cooked on kitchen scale. Zero plate on scale, measure 150g warm rice, then add 95g cooked chicken meat without bones.</t>
        </is>
      </c>
    </row>
    <row r="171" ht="36" customHeight="1">
      <c r="A171" s="10" t="inlineStr">
        <is>
          <t>2027-04-11</t>
        </is>
      </c>
      <c r="B171" s="10" t="n">
        <v>170</v>
      </c>
      <c r="C171" s="10" t="inlineStr">
        <is>
          <t>Sunday</t>
        </is>
      </c>
      <c r="D171" s="11" t="inlineStr">
        <is>
          <t>Iron-Rich Poha, Egg Curry &amp; Golden Turmeric Phulkas</t>
        </is>
      </c>
      <c r="E171" s="11" t="inlineStr">
        <is>
          <t>Vegetable Poha (160g cooked) tempered with mustard &amp; roasted peanuts (15g) + 1 Boiled Egg [330 kcal, 13g P, 44g C, 11g F, ₹28]</t>
        </is>
      </c>
      <c r="F171" s="11" t="inlineStr">
        <is>
          <t>Vegetable Poha (180g) + 1 glass warm toned milk (150ml) [310 kcal, 11g P, 48g C, 8g F, ₹24]</t>
        </is>
      </c>
      <c r="G171" s="11" t="inlineStr">
        <is>
          <t>Rolled Oats cooked in milk (40g oats + 180ml toned milk) with half diced apple [290 kcal, 12g P, 45g C, 6g F, ₹30]</t>
        </is>
      </c>
      <c r="H171" s="11" t="inlineStr">
        <is>
          <t>Spiced Majjige / Buttermilk (220ml) with grated ginger &amp; curry leaves [45 kcal, 3g P, 4g C, 1.5g F, ₹15] | Alt: 1 Crisp Guava or Apple (130g) with pinch of rock salt [75 kcal, 1.5g P, 18g C, 0.5g F, ₹20]</t>
        </is>
      </c>
      <c r="I171" s="11" t="inlineStr">
        <is>
          <t>2 Soft Phulkas (80g) + 2 Boiled Eggs in Onion-Tomato Gravy (120g gravy) + Ridge Gourd (Heerekayi) Palya (140g) [450 kcal, 22g P, 48g C, 17g F, ₹45]</t>
        </is>
      </c>
      <c r="J171" s="11" t="inlineStr">
        <is>
          <t>Sona Masoori Rice (150g) + Fish Curry (120g rohu/pomfret in light coconut gravy) + Beans Poriyal (120g) [460 kcal, 32g P, 46g C, 13g F, ₹80]</t>
        </is>
      </c>
      <c r="K171" s="11" t="inlineStr">
        <is>
          <t>Cooked Rice (150g) + Mixed Vegetable Sambar (180g) + Pan-seared Tofu or Paneer (80g) + Cucumber Slices [465 kcal, 21g P, 52g C, 17g F, ₹55]</t>
        </is>
      </c>
      <c r="L171" s="11" t="inlineStr">
        <is>
          <t>Boiled Sweet Corn (120g) with lemon squeeze &amp; chaat masala [120 kcal, 4g P, 24g C, 1.5g F, ₹20] | Alt: Roasted Kadale / Chana (30g) + Warm Elaichi Green Tea [125 kcal, 6g P, 18g C, 2.5g F, ₹15]</t>
        </is>
      </c>
      <c r="M171" s="11" t="inlineStr">
        <is>
          <t>2 Soft Phulkas (75g) + Fresh Paneer Bhurji (90g paneer, capsicum, tomato) + Warm Tomato Rasam (150ml) [445 kcal, 21g P, 44g C, 19g F, ₹60]</t>
        </is>
      </c>
      <c r="N171" s="11" t="inlineStr">
        <is>
          <t>2 Ragi Rotis (130g) + Chicken Curry (90g cooked meat) + Onion Cucumber Raita (80g) [430 kcal, 30g P, 46g C, 11g F, ₹70]</t>
        </is>
      </c>
      <c r="O171" s="11" t="inlineStr">
        <is>
          <t>Moong Dal Vegetable Dalia Khichdi (220g) + Fresh Curd (100g) [390 kcal, 16g P, 54g C, 9g F, ₹35]</t>
        </is>
      </c>
      <c r="P171" s="11" t="inlineStr">
        <is>
          <t>Optional Pre: 2 Medjool dates [80 kcal] • Post: 1 boiled egg white or 100g warm milk [55 kcal, 4g P]</t>
        </is>
      </c>
      <c r="Q171" s="12" t="n">
        <v>1390</v>
      </c>
      <c r="R171" s="12" t="n">
        <v>63</v>
      </c>
      <c r="S171" s="12" t="n">
        <v>164</v>
      </c>
      <c r="T171" s="12" t="n">
        <v>50</v>
      </c>
      <c r="U171" s="12" t="n">
        <v>168</v>
      </c>
      <c r="V171" s="11" t="inlineStr">
        <is>
          <t>Rinse thick poha in colander, drain well. Sauté with onion, curry leaves, carrots &amp; roasted peanuts. Prick boiled eggs gently before simmering in gravy to absorb rich flavours.</t>
        </is>
      </c>
    </row>
    <row r="172" ht="36" customHeight="1">
      <c r="A172" s="7" t="inlineStr">
        <is>
          <t>2027-04-12</t>
        </is>
      </c>
      <c r="B172" s="7" t="n">
        <v>171</v>
      </c>
      <c r="C172" s="7" t="inlineStr">
        <is>
          <t>Monday</t>
        </is>
      </c>
      <c r="D172" s="8" t="inlineStr">
        <is>
          <t>Bengaluru Rava Upma &amp; Fresh Coastal Home Curry</t>
        </is>
      </c>
      <c r="E172" s="8" t="inlineStr">
        <is>
          <t>Bengaluru Vegetable Rava Upma (180g cooked) with roasted peanuts + 1 Boiled Egg [340 kcal, 14g P, 44g C, 12g F, ₹26]</t>
        </is>
      </c>
      <c r="F172" s="8" t="inlineStr">
        <is>
          <t>Vegetable Upma (180g) + 1 glass warm toned milk (150ml) [320 kcal, 11g P, 48g C, 9g F, ₹24]</t>
        </is>
      </c>
      <c r="G172" s="8" t="inlineStr">
        <is>
          <t>Steamed Idlis (3 pcs) with Mint Toor Dal Chutney (40g) + 1 Boiled Egg [320 kcal, 15g P, 42g C, 9g F, ₹28]</t>
        </is>
      </c>
      <c r="H172" s="8" t="inlineStr">
        <is>
          <t>Fresh Fruit Bowl (150g watermelon or papaya) + 6 soaked almonds [110 kcal, 3g P, 22g C, 3g F, ₹30] | Alt: Tender Coconut Water (220ml) [45 kcal, 1g P, 10g C, 0g F, ₹35]</t>
        </is>
      </c>
      <c r="I172" s="8" t="inlineStr">
        <is>
          <t>Sona Masoori Rice (150g cooked) + Bengaluru Fish Curry (120g fresh fish in light gravy) + Cabbage &amp; Pea Poriyal (130g) + Rasam [450 kcal, 33g P, 46g C, 13g F, ₹80]</t>
        </is>
      </c>
      <c r="J172" s="8" t="inlineStr">
        <is>
          <t>2 Phulkas (80g) + Chicken Curry (95g cooked meat) + Cucumber Carrot Salad (100g) [440 kcal, 31g P, 44g C, 13g F, ₹65]</t>
        </is>
      </c>
      <c r="K172" s="8" t="inlineStr">
        <is>
          <t>Rice (150g) + Thick Chana Dal (180g) + Beans Palya (130g) + Fresh Curd (100g) [470 kcal, 22g P, 56g C, 15g F, ₹45]</t>
        </is>
      </c>
      <c r="L172" s="8" t="inlineStr">
        <is>
          <t>Roasted Puri Kadale / Chana (30g) + Warm Ginger Tea (100ml low-fat milk) [140 kcal, 6g P, 20g C, 3.5g F, ₹18] | Alt: Spiced Boiled Moong Sprouts (80g) with lime &amp; salt [110 kcal, 7g P, 18g C, 1g F, ₹15]</t>
        </is>
      </c>
      <c r="M172" s="8" t="inlineStr">
        <is>
          <t>2 Soft Phulkas (75g) + Soya Chunks &amp; Green Pea Curry (45g dry soya + 50g peas) + Fresh Curd (80g) [420 kcal, 29g P, 48g C, 9g F, ₹40]</t>
        </is>
      </c>
      <c r="N172" s="8" t="inlineStr">
        <is>
          <t>2 Phulkas (75g) + 2 Boiled Eggs in Homestyle Curry (100g) + Sliced Cucumber [410 kcal, 21g P, 42g C, 15g F, ₹38]</t>
        </is>
      </c>
      <c r="O172" s="8" t="inlineStr">
        <is>
          <t>2 Ragi Rotis (120g) + Mixed Vegetable Sambar (180ml) + Sautéed Palak (100g) [380 kcal, 14g P, 54g C, 8g F, ₹30]</t>
        </is>
      </c>
      <c r="P172" s="8" t="inlineStr">
        <is>
          <t>Optional Pre: 1 cup tender coconut water [45 kcal] • Post: 1 glass warm milk (150ml) [85 kcal, 5g P]</t>
        </is>
      </c>
      <c r="Q172" s="9" t="n">
        <v>1460</v>
      </c>
      <c r="R172" s="9" t="n">
        <v>85</v>
      </c>
      <c r="S172" s="9" t="n">
        <v>180</v>
      </c>
      <c r="T172" s="9" t="n">
        <v>40.5</v>
      </c>
      <c r="U172" s="9" t="n">
        <v>194</v>
      </c>
      <c r="V172" s="8" t="inlineStr">
        <is>
          <t>Dry roast semolina lightly. Tempered with mustard seeds, chana dal, green chillies &amp; mixed veggies. Use fresh local fish cuts (rohu, pomfret, or seer fish). Simmer gently for 8 mins.</t>
        </is>
      </c>
    </row>
    <row r="173" ht="36" customHeight="1">
      <c r="A173" s="10" t="inlineStr">
        <is>
          <t>2027-04-13</t>
        </is>
      </c>
      <c r="B173" s="10" t="n">
        <v>172</v>
      </c>
      <c r="C173" s="10" t="inlineStr">
        <is>
          <t>Tuesday</t>
        </is>
      </c>
      <c r="D173" s="11" t="inlineStr">
        <is>
          <t>Nourishing Rolled Oats &amp; Tender Chicken Palya</t>
        </is>
      </c>
      <c r="E173" s="11" t="inlineStr">
        <is>
          <t>Warm Rolled Oats (40g dry + 180ml toned milk) + 1 Boiled Egg + Apple slices (50g) [345 kcal, 18g P, 46g C, 10g F, ₹35]</t>
        </is>
      </c>
      <c r="F173" s="11" t="inlineStr">
        <is>
          <t>Vegetable Poha (160g cooked) + 2 Boiled Eggs [360 kcal, 18g P, 42g C, 14g F, ₹32]</t>
        </is>
      </c>
      <c r="G173" s="11" t="inlineStr">
        <is>
          <t>2 Plain Dosas (120g) + Toor Dal Sambar (150ml) + 1 cup warm sprouted moong [330 kcal, 14g P, 48g C, 7g F, ₹25]</t>
        </is>
      </c>
      <c r="H173" s="11" t="inlineStr">
        <is>
          <t>Tender Coconut Water (220ml) + 5 Soaked Almonds [95 kcal, 3g P, 12g C, 4g F, ₹40] | Alt: Fresh Spiced Buttermilk (220ml) with coriander &amp; rock salt [45 kcal, 3g P, 4g C, 1.5g F, ₹15]</t>
        </is>
      </c>
      <c r="I173" s="11" t="inlineStr">
        <is>
          <t>Sona Masoori Rice (150g cooked) + Tender Chicken Curry (130g raw / 95g meat) + Palak (Spinach) Palya (140g) + Rasam [470 kcal, 35g P, 46g C, 13g F, ₹75]</t>
        </is>
      </c>
      <c r="J173" s="11" t="inlineStr">
        <is>
          <t>2 Soft Phulkas (80g) + Fresh Paneer Curry (85g paneer in light gravy) + French Beans Palya (120g) [450 kcal, 21g P, 44g C, 19g F, ₹55]</t>
        </is>
      </c>
      <c r="K173" s="11" t="inlineStr">
        <is>
          <t>Rice (150g) + Toor Dal Tadka (180g) + 2 Boiled Eggs + Beetroot Poriyal (120g) [460 kcal, 25g P, 52g C, 14g F, ₹42]</t>
        </is>
      </c>
      <c r="L173" s="11" t="inlineStr">
        <is>
          <t>Roasted Makhana (30g) + Hot Green Tea with lemon [130 kcal, 3g P, 21g C, 3.5g F, ₹25] | Alt: Boiled Chickpeas Sundal (70g) with mustard &amp; curry leaves [125 kcal, 6g P, 20g C, 2.5g F, ₹18]</t>
        </is>
      </c>
      <c r="M173" s="11" t="inlineStr">
        <is>
          <t>2 Soft Phulkas (75g) + 2 Boiled Eggs in Tomato Onion Curry + Cucumber Salad (100g) [415 kcal, 21g P, 42g C, 15g F, ₹38]</t>
        </is>
      </c>
      <c r="N173" s="11" t="inlineStr">
        <is>
          <t>2 Phulkas (75g) + Grilled Chicken Strips (100g cooked) + Mixed Sautéed Capsicum &amp; Onions [425 kcal, 32g P, 40g C, 11g F, ₹65]</t>
        </is>
      </c>
      <c r="O173" s="11" t="inlineStr">
        <is>
          <t>Warm Moong Dal Vegetable Khichdi (220g) + Fresh Curd (100g) [380 kcal, 15g P, 56g C, 8g F, ₹35]</t>
        </is>
      </c>
      <c r="P173" s="11" t="inlineStr">
        <is>
          <t>Optional Pre: 1 small banana [70 kcal] • Post: 1 cup warm turmeric milk [90 kcal, 6g P]</t>
        </is>
      </c>
      <c r="Q173" s="12" t="n">
        <v>1455</v>
      </c>
      <c r="R173" s="12" t="n">
        <v>80</v>
      </c>
      <c r="S173" s="12" t="n">
        <v>167</v>
      </c>
      <c r="T173" s="12" t="n">
        <v>45.5</v>
      </c>
      <c r="U173" s="12" t="n">
        <v>213</v>
      </c>
      <c r="V173" s="11" t="inlineStr">
        <is>
          <t>Cook oats in milk for 4 mins on medium flame. Stir in pinch of cinnamon powder. Weigh raw boneless chicken (130g). Steam spinach lightly with mustard tempering.</t>
        </is>
      </c>
    </row>
    <row r="174" ht="36" customHeight="1">
      <c r="A174" s="7" t="inlineStr">
        <is>
          <t>2027-04-14</t>
        </is>
      </c>
      <c r="B174" s="7" t="n">
        <v>173</v>
      </c>
      <c r="C174" s="7" t="inlineStr">
        <is>
          <t>Wednesday</t>
        </is>
      </c>
      <c r="D174" s="8" t="inlineStr">
        <is>
          <t>Calcium-Rich Ragi Dosa &amp; Fresh Country Egg Feast</t>
        </is>
      </c>
      <c r="E174" s="8" t="inlineStr">
        <is>
          <t>Ragi Dosa (2 medium, 120g) + Coconut Mint Chutney (30g) + 2 Boiled Eggs [350 kcal, 19g P, 40g C, 13g F, ₹35]</t>
        </is>
      </c>
      <c r="F174" s="8" t="inlineStr">
        <is>
          <t>Steamed Idlis (3 pcs, 110g) + Vegetable Sambar (150ml) + 1 Boiled Egg [310 kcal, 13g P, 44g C, 8g F, ₹25]</t>
        </is>
      </c>
      <c r="G174" s="8" t="inlineStr">
        <is>
          <t>Vegetable Upma (180g) + Warm Toned Milk (150ml) [320 kcal, 11g P, 48g C, 9g F, ₹22]</t>
        </is>
      </c>
      <c r="H174" s="8" t="inlineStr">
        <is>
          <t>Fresh Seasonal Fruit (1 Medium Apple or 150g Papaya) + 6 Almonds [115 kcal, 3g P, 22g C, 3.5g F, ₹30] | Alt: Tender Coconut Water (220ml) [45 kcal, 1g P, 10g C, 0g F, ₹35]</t>
        </is>
      </c>
      <c r="I174" s="8" t="inlineStr">
        <is>
          <t>2 Soft Phulkas (80g) + Homestyle Egg Curry (2 eggs) + Cabbage &amp; Carrot Poriyal (140g) + Rasam [445 kcal, 22g P, 48g C, 16g F, ₹42]</t>
        </is>
      </c>
      <c r="J174" s="8" t="inlineStr">
        <is>
          <t>Sona Masoori Rice (150g) + Bengaluru Chicken Curry (95g meat) + Beans Palya (120g) [475 kcal, 34g P, 48g C, 14g F, ₹75]</t>
        </is>
      </c>
      <c r="K174" s="8" t="inlineStr">
        <is>
          <t>Rice (150g) + Thick Toor Dal Tadka (180g) + Fresh Curd (100g) + Tomato Cucumber Salad [440 kcal, 18g P, 56g C, 14g F, ₹40]</t>
        </is>
      </c>
      <c r="L174" s="8" t="inlineStr">
        <is>
          <t>Spiced Boiled Sundal / Chickpeas (80g) with lime [140 kcal, 7g P, 22g C, 3g F, ₹20] | Alt: Roasted Makhana (30g) in 1/2 tsp ghee &amp; rock salt [130 kcal, 3g P, 21g C, 3.5g F, ₹25]</t>
        </is>
      </c>
      <c r="M174" s="8" t="inlineStr">
        <is>
          <t>2 Soft Phulkas (75g) + Home Chicken Curry (100g meat) + Cucumber Salad (100g) [420 kcal, 31g P, 42g C, 12g F, ₹65]</t>
        </is>
      </c>
      <c r="N174" s="8" t="inlineStr">
        <is>
          <t>2 Phulkas (75g) + Fresh Paneer Bhurji (90g paneer, capsicum, onion) + Clear Soup [440 kcal, 20g P, 42g C, 20g F, ₹55]</t>
        </is>
      </c>
      <c r="O174" s="8" t="inlineStr">
        <is>
          <t>Rice-Moong Dal Khichdi (220g) + Curd (100g) + Lauki Sabzi (120g) [385 kcal, 14g P, 58g C, 8.5g F, ₹35]</t>
        </is>
      </c>
      <c r="P174" s="8" t="inlineStr">
        <is>
          <t>Optional Pre: 1 cup tender coconut water [45 kcal] • Post: 1 glass warm milk (150ml) [85 kcal, 5g P]</t>
        </is>
      </c>
      <c r="Q174" s="9" t="n">
        <v>1470</v>
      </c>
      <c r="R174" s="9" t="n">
        <v>82</v>
      </c>
      <c r="S174" s="9" t="n">
        <v>174</v>
      </c>
      <c r="T174" s="9" t="n">
        <v>47.5</v>
      </c>
      <c r="U174" s="9" t="n">
        <v>192</v>
      </c>
      <c r="V174" s="8" t="inlineStr">
        <is>
          <t>Mix ragi flour with equal water, pinch of salt, cumin seeds &amp; chopped onion. Pour on medium hot tawa. Cook vegetables in minimum oil with mustard seeds, curry leaves &amp; grated fresh coconut.</t>
        </is>
      </c>
    </row>
    <row r="175" ht="36" customHeight="1">
      <c r="A175" s="10" t="inlineStr">
        <is>
          <t>2027-04-15</t>
        </is>
      </c>
      <c r="B175" s="10" t="n">
        <v>174</v>
      </c>
      <c r="C175" s="10" t="inlineStr">
        <is>
          <t>Thursday</t>
        </is>
      </c>
      <c r="D175" s="11" t="inlineStr">
        <is>
          <t>High-Fiber Soya Chunks &amp; Comfort Idli Sambar</t>
        </is>
      </c>
      <c r="E175" s="11" t="inlineStr">
        <is>
          <t>Steamed Idlis (3 pcs, 110g) + Vegetable Sambar (150ml) + 2 Boiled Eggs [340 kcal, 19g P, 38g C, 12g F, ₹35]</t>
        </is>
      </c>
      <c r="F175" s="11" t="inlineStr">
        <is>
          <t>Vegetable Poha (160g cooked) + 1 Boiled Egg [310 kcal, 12g P, 44g C, 9g F, ₹26]</t>
        </is>
      </c>
      <c r="G175" s="11" t="inlineStr">
        <is>
          <t>Rolled Oats cooked in toned milk (40g + 180ml milk) with 1/2 apple [290 kcal, 12g P, 45g C, 6g F, ₹30]</t>
        </is>
      </c>
      <c r="H175" s="11" t="inlineStr">
        <is>
          <t>Spiced Buttermilk / Majjige (220ml) with curry leaves &amp; ginger [45 kcal, 3g P, 4g C, 1.5g F, ₹15] | Alt: Fresh Papaya slices (150g) + 5 almonds [110 kcal, 3g P, 22g C, 3g F, ₹28]</t>
        </is>
      </c>
      <c r="I175" s="11" t="inlineStr">
        <is>
          <t>Sona Masoori Rice (150g cooked) + Soya Chunks Curry (45g dry soya chunks cooked in onion-tomato gravy) + French Beans Palya (130g) + Rasam [460 kcal, 31g P, 56g C, 9g F, ₹42]</t>
        </is>
      </c>
      <c r="J175" s="11" t="inlineStr">
        <is>
          <t>2 Phulkas (80g) + Chicken Curry (95g meat) + Cabbage Poriyal (120g) [440 kcal, 31g P, 44g C, 13g F, ₹65]</t>
        </is>
      </c>
      <c r="K175" s="11" t="inlineStr">
        <is>
          <t>Rice (150g) + Thick Toor Dal (180g) + 2 Boiled Eggs + Ridge Gourd Palya (120g) [455 kcal, 24g P, 52g C, 14g F, ₹40]</t>
        </is>
      </c>
      <c r="L175" s="11" t="inlineStr">
        <is>
          <t>Roasted Kadale / Chana (30g) + Hot Elaichi Tea (100ml milk) [140 kcal, 6g P, 20g C, 3.5g F, ₹18] | Alt: Roasted Makhana (30g) in ghee &amp; rock salt [130 kcal, 3g P, 21g C, 3.5g F, ₹25]</t>
        </is>
      </c>
      <c r="M175" s="11" t="inlineStr">
        <is>
          <t>2 Soft Phulkas (75g) + 2 Boiled Eggs in Mild Curry + Cucumber Carrot Salad (120g) [415 kcal, 21g P, 42g C, 15g F, ₹38]</t>
        </is>
      </c>
      <c r="N175" s="11" t="inlineStr">
        <is>
          <t>2 Phulkas (75g) + Paneer Bhurji (90g paneer, capsicum, tomato) + Warm Soup [445 kcal, 20g P, 44g C, 19g F, ₹58]</t>
        </is>
      </c>
      <c r="O175" s="11" t="inlineStr">
        <is>
          <t>2 Ragi Rotis (120g) + Chicken Curry (90g meat) + Cucumber Slices [425 kcal, 30g P, 46g C, 11g F, ₹68]</t>
        </is>
      </c>
      <c r="P175" s="11" t="inlineStr">
        <is>
          <t>Optional Pre: 1 small banana [70 kcal] • Post: 1 glass warm milk [90 kcal, 6g P]</t>
        </is>
      </c>
      <c r="Q175" s="12" t="n">
        <v>1400</v>
      </c>
      <c r="R175" s="12" t="n">
        <v>80</v>
      </c>
      <c r="S175" s="12" t="n">
        <v>160</v>
      </c>
      <c r="T175" s="12" t="n">
        <v>41</v>
      </c>
      <c r="U175" s="12" t="n">
        <v>151</v>
      </c>
      <c r="V175" s="11" t="inlineStr">
        <is>
          <t>Dip idlis in piping hot sambar. Eggs provide complete amino acid profile. Soak soya chunks in warm water for 15 mins. Squeeze out bitter water completely before cooking.</t>
        </is>
      </c>
    </row>
    <row r="176" ht="36" customHeight="1">
      <c r="A176" s="7" t="inlineStr">
        <is>
          <t>2027-04-16</t>
        </is>
      </c>
      <c r="B176" s="7" t="n">
        <v>175</v>
      </c>
      <c r="C176" s="7" t="inlineStr">
        <is>
          <t>Friday</t>
        </is>
      </c>
      <c r="D176" s="8" t="inlineStr">
        <is>
          <t>Comfort Steamed Staples &amp; Bengaluru Chicken Curry</t>
        </is>
      </c>
      <c r="E176" s="8" t="inlineStr">
        <is>
          <t>Steamed Idlis (3 pcs, 110g) + Veg Sambar (150ml) + 2 Boiled Eggs (100g) [340 kcal, 19g P, 38g C, 12g F, ₹35]</t>
        </is>
      </c>
      <c r="F176" s="8" t="inlineStr">
        <is>
          <t>Steamed Idlis (3 pcs) + Veg Sambar + 1 cup warm sprouted moong salad (100g) [310 kcal, 13g P, 46g C, 5g F, ₹25]</t>
        </is>
      </c>
      <c r="G176" s="8" t="inlineStr">
        <is>
          <t>Ragi Dosa (2 medium, 120g) + Mint Chutney (30g) + 1 Boiled Egg [320 kcal, 14g P, 42g C, 11g F, ₹28]</t>
        </is>
      </c>
      <c r="H176" s="8" t="inlineStr">
        <is>
          <t>Tender Coconut Water (220ml) + Handful Roasted Chana (25g) [130 kcal, 5g P, 22g C, 2g F, ₹40] | Alt: Fresh Papaya slices (150g) + 5 soaked almonds [110 kcal, 3g P, 22g C, 3g F, ₹30]</t>
        </is>
      </c>
      <c r="I176" s="8" t="inlineStr">
        <is>
          <t>Sona Masoori Rice (150g cooked / 55g raw) + Bengaluru Chicken Curry (130g raw / 95g cooked meat) + French Beans Palya (130g) + Pepper Rasam [475 kcal, 34g P, 48g C, 14g F, ₹75]</t>
        </is>
      </c>
      <c r="J176" s="8" t="inlineStr">
        <is>
          <t>2 Soft Wheat Phulkas (80g) + Homestyle Egg Curry (2 eggs in onion-tomato gravy) + Cabbage Poriyal (140g) [440 kcal, 21g P, 48g C, 16g F, ₹40]</t>
        </is>
      </c>
      <c r="K176" s="8" t="inlineStr">
        <is>
          <t>Sona Masoori Rice (150g) + Thick Toor Dal Tadka (180g) + Paneer Palya (80g paneer) + Fresh Curd (100g) [480 kcal, 23g P, 54g C, 18g F, ₹55]</t>
        </is>
      </c>
      <c r="L176" s="8" t="inlineStr">
        <is>
          <t>Spiced Boiled Sundal / Chickpeas (80g) with mustard tempering &amp; lemon [140 kcal, 7g P, 22g C, 3g F, ₹20] | Alt: Roasted Makhana (30g) in 1/2 tsp ghee &amp; rock salt [130 kcal, 3g P, 21g C, 3.5g F, ₹25]</t>
        </is>
      </c>
      <c r="M176" s="8" t="inlineStr">
        <is>
          <t>2 Soft Whole Wheat Phulkas (75g) + Grilled/Pan Chicken Curry (100g meat) + Cucumber Tomato Salad (120g) [420 kcal, 31g P, 42g C, 12g F, ₹65]</t>
        </is>
      </c>
      <c r="N176" s="8" t="inlineStr">
        <is>
          <t>2 Phulkas (75g) + Fresh Paneer Bhurji (90g paneer with capsicum &amp; onion) + Tomato Clear Soup [440 kcal, 20g P, 42g C, 20g F, ₹55]</t>
        </is>
      </c>
      <c r="O176" s="8" t="inlineStr">
        <is>
          <t>Warm Rice-Moong Dal Khichdi (220g) + Fresh Curd (100g) + Steamed Beetroot Poriyal (100g) [380 kcal, 14g P, 58g C, 8g F, ₹35]</t>
        </is>
      </c>
      <c r="P176" s="8" t="inlineStr">
        <is>
          <t>Optional Pre: 1 small banana (80g) [70 kcal] • Post: 1 glass warm toned milk with turmeric (180ml) [95 kcal, 6g P]</t>
        </is>
      </c>
      <c r="Q176" s="9" t="n">
        <v>1505</v>
      </c>
      <c r="R176" s="9" t="n">
        <v>96</v>
      </c>
      <c r="S176" s="9" t="n">
        <v>172</v>
      </c>
      <c r="T176" s="9" t="n">
        <v>43</v>
      </c>
      <c r="U176" s="9" t="n">
        <v>235</v>
      </c>
      <c r="V176" s="8" t="inlineStr">
        <is>
          <t>Steam idlis in idli cooker for 10-12 mins. Weigh 110g cooked on kitchen scale. Zero plate on scale, measure 150g warm rice, then add 95g cooked chicken meat without bones.</t>
        </is>
      </c>
    </row>
    <row r="177" ht="36" customHeight="1">
      <c r="A177" s="10" t="inlineStr">
        <is>
          <t>2027-04-17</t>
        </is>
      </c>
      <c r="B177" s="10" t="n">
        <v>176</v>
      </c>
      <c r="C177" s="10" t="inlineStr">
        <is>
          <t>Saturday</t>
        </is>
      </c>
      <c r="D177" s="11" t="inlineStr">
        <is>
          <t>Iron-Rich Poha, Egg Curry &amp; Golden Turmeric Phulkas</t>
        </is>
      </c>
      <c r="E177" s="11" t="inlineStr">
        <is>
          <t>Vegetable Poha (160g cooked) tempered with mustard &amp; roasted peanuts (15g) + 1 Boiled Egg [330 kcal, 13g P, 44g C, 11g F, ₹28]</t>
        </is>
      </c>
      <c r="F177" s="11" t="inlineStr">
        <is>
          <t>Vegetable Poha (180g) + 1 glass warm toned milk (150ml) [310 kcal, 11g P, 48g C, 8g F, ₹24]</t>
        </is>
      </c>
      <c r="G177" s="11" t="inlineStr">
        <is>
          <t>Rolled Oats cooked in milk (40g oats + 180ml toned milk) with half diced apple [290 kcal, 12g P, 45g C, 6g F, ₹30]</t>
        </is>
      </c>
      <c r="H177" s="11" t="inlineStr">
        <is>
          <t>Spiced Majjige / Buttermilk (220ml) with grated ginger &amp; curry leaves [45 kcal, 3g P, 4g C, 1.5g F, ₹15] | Alt: 1 Crisp Guava or Apple (130g) with pinch of rock salt [75 kcal, 1.5g P, 18g C, 0.5g F, ₹20]</t>
        </is>
      </c>
      <c r="I177" s="11" t="inlineStr">
        <is>
          <t>2 Soft Phulkas (80g) + 2 Boiled Eggs in Onion-Tomato Gravy (120g gravy) + Ridge Gourd (Heerekayi) Palya (140g) [450 kcal, 22g P, 48g C, 17g F, ₹45]</t>
        </is>
      </c>
      <c r="J177" s="11" t="inlineStr">
        <is>
          <t>Sona Masoori Rice (150g) + Fish Curry (120g rohu/pomfret in light coconut gravy) + Beans Poriyal (120g) [460 kcal, 32g P, 46g C, 13g F, ₹80]</t>
        </is>
      </c>
      <c r="K177" s="11" t="inlineStr">
        <is>
          <t>Cooked Rice (150g) + Mixed Vegetable Sambar (180g) + Pan-seared Tofu or Paneer (80g) + Cucumber Slices [465 kcal, 21g P, 52g C, 17g F, ₹55]</t>
        </is>
      </c>
      <c r="L177" s="11" t="inlineStr">
        <is>
          <t>Boiled Sweet Corn (120g) with lemon squeeze &amp; chaat masala [120 kcal, 4g P, 24g C, 1.5g F, ₹20] | Alt: Roasted Kadale / Chana (30g) + Warm Elaichi Green Tea [125 kcal, 6g P, 18g C, 2.5g F, ₹15]</t>
        </is>
      </c>
      <c r="M177" s="11" t="inlineStr">
        <is>
          <t>2 Soft Phulkas (75g) + Fresh Paneer Bhurji (90g paneer, capsicum, tomato) + Warm Tomato Rasam (150ml) [445 kcal, 21g P, 44g C, 19g F, ₹60]</t>
        </is>
      </c>
      <c r="N177" s="11" t="inlineStr">
        <is>
          <t>2 Ragi Rotis (130g) + Chicken Curry (90g cooked meat) + Onion Cucumber Raita (80g) [430 kcal, 30g P, 46g C, 11g F, ₹70]</t>
        </is>
      </c>
      <c r="O177" s="11" t="inlineStr">
        <is>
          <t>Moong Dal Vegetable Dalia Khichdi (220g) + Fresh Curd (100g) [390 kcal, 16g P, 54g C, 9g F, ₹35]</t>
        </is>
      </c>
      <c r="P177" s="11" t="inlineStr">
        <is>
          <t>Optional Pre: 2 Medjool dates [80 kcal] • Post: 1 boiled egg white or 100g warm milk [55 kcal, 4g P]</t>
        </is>
      </c>
      <c r="Q177" s="12" t="n">
        <v>1390</v>
      </c>
      <c r="R177" s="12" t="n">
        <v>63</v>
      </c>
      <c r="S177" s="12" t="n">
        <v>164</v>
      </c>
      <c r="T177" s="12" t="n">
        <v>50</v>
      </c>
      <c r="U177" s="12" t="n">
        <v>168</v>
      </c>
      <c r="V177" s="11" t="inlineStr">
        <is>
          <t>Rinse thick poha in colander, drain well. Sauté with onion, curry leaves, carrots &amp; roasted peanuts. Prick boiled eggs gently before simmering in gravy to absorb rich flavours.</t>
        </is>
      </c>
    </row>
    <row r="178" ht="36" customHeight="1">
      <c r="A178" s="7" t="inlineStr">
        <is>
          <t>2027-04-18</t>
        </is>
      </c>
      <c r="B178" s="7" t="n">
        <v>177</v>
      </c>
      <c r="C178" s="7" t="inlineStr">
        <is>
          <t>Sunday</t>
        </is>
      </c>
      <c r="D178" s="8" t="inlineStr">
        <is>
          <t>Bengaluru Rava Upma &amp; Fresh Coastal Home Curry</t>
        </is>
      </c>
      <c r="E178" s="8" t="inlineStr">
        <is>
          <t>Bengaluru Vegetable Rava Upma (180g cooked) with roasted peanuts + 1 Boiled Egg [340 kcal, 14g P, 44g C, 12g F, ₹26]</t>
        </is>
      </c>
      <c r="F178" s="8" t="inlineStr">
        <is>
          <t>Vegetable Upma (180g) + 1 glass warm toned milk (150ml) [320 kcal, 11g P, 48g C, 9g F, ₹24]</t>
        </is>
      </c>
      <c r="G178" s="8" t="inlineStr">
        <is>
          <t>Steamed Idlis (3 pcs) with Mint Toor Dal Chutney (40g) + 1 Boiled Egg [320 kcal, 15g P, 42g C, 9g F, ₹28]</t>
        </is>
      </c>
      <c r="H178" s="8" t="inlineStr">
        <is>
          <t>Fresh Fruit Bowl (150g watermelon or papaya) + 6 soaked almonds [110 kcal, 3g P, 22g C, 3g F, ₹30] | Alt: Tender Coconut Water (220ml) [45 kcal, 1g P, 10g C, 0g F, ₹35]</t>
        </is>
      </c>
      <c r="I178" s="8" t="inlineStr">
        <is>
          <t>Sona Masoori Rice (150g cooked) + Bengaluru Fish Curry (120g fresh fish in light gravy) + Cabbage &amp; Pea Poriyal (130g) + Rasam [450 kcal, 33g P, 46g C, 13g F, ₹80]</t>
        </is>
      </c>
      <c r="J178" s="8" t="inlineStr">
        <is>
          <t>2 Phulkas (80g) + Chicken Curry (95g cooked meat) + Cucumber Carrot Salad (100g) [440 kcal, 31g P, 44g C, 13g F, ₹65]</t>
        </is>
      </c>
      <c r="K178" s="8" t="inlineStr">
        <is>
          <t>Rice (150g) + Thick Chana Dal (180g) + Beans Palya (130g) + Fresh Curd (100g) [470 kcal, 22g P, 56g C, 15g F, ₹45]</t>
        </is>
      </c>
      <c r="L178" s="8" t="inlineStr">
        <is>
          <t>Roasted Puri Kadale / Chana (30g) + Warm Ginger Tea (100ml low-fat milk) [140 kcal, 6g P, 20g C, 3.5g F, ₹18] | Alt: Spiced Boiled Moong Sprouts (80g) with lime &amp; salt [110 kcal, 7g P, 18g C, 1g F, ₹15]</t>
        </is>
      </c>
      <c r="M178" s="8" t="inlineStr">
        <is>
          <t>2 Soft Phulkas (75g) + Soya Chunks &amp; Green Pea Curry (45g dry soya + 50g peas) + Fresh Curd (80g) [420 kcal, 29g P, 48g C, 9g F, ₹40]</t>
        </is>
      </c>
      <c r="N178" s="8" t="inlineStr">
        <is>
          <t>2 Phulkas (75g) + 2 Boiled Eggs in Homestyle Curry (100g) + Sliced Cucumber [410 kcal, 21g P, 42g C, 15g F, ₹38]</t>
        </is>
      </c>
      <c r="O178" s="8" t="inlineStr">
        <is>
          <t>2 Ragi Rotis (120g) + Mixed Vegetable Sambar (180ml) + Sautéed Palak (100g) [380 kcal, 14g P, 54g C, 8g F, ₹30]</t>
        </is>
      </c>
      <c r="P178" s="8" t="inlineStr">
        <is>
          <t>Optional Pre: 1 cup tender coconut water [45 kcal] • Post: 1 glass warm milk (150ml) [85 kcal, 5g P]</t>
        </is>
      </c>
      <c r="Q178" s="9" t="n">
        <v>1460</v>
      </c>
      <c r="R178" s="9" t="n">
        <v>85</v>
      </c>
      <c r="S178" s="9" t="n">
        <v>180</v>
      </c>
      <c r="T178" s="9" t="n">
        <v>40.5</v>
      </c>
      <c r="U178" s="9" t="n">
        <v>194</v>
      </c>
      <c r="V178" s="8" t="inlineStr">
        <is>
          <t>Dry roast semolina lightly. Tempered with mustard seeds, chana dal, green chillies &amp; mixed veggies. Use fresh local fish cuts (rohu, pomfret, or seer fish). Simmer gently for 8 mins.</t>
        </is>
      </c>
    </row>
    <row r="179" ht="36" customHeight="1">
      <c r="A179" s="10" t="inlineStr">
        <is>
          <t>2027-04-19</t>
        </is>
      </c>
      <c r="B179" s="10" t="n">
        <v>178</v>
      </c>
      <c r="C179" s="10" t="inlineStr">
        <is>
          <t>Monday</t>
        </is>
      </c>
      <c r="D179" s="11" t="inlineStr">
        <is>
          <t>Nourishing Rolled Oats &amp; Tender Chicken Palya</t>
        </is>
      </c>
      <c r="E179" s="11" t="inlineStr">
        <is>
          <t>Warm Rolled Oats (40g dry + 180ml toned milk) + 1 Boiled Egg + Apple slices (50g) [345 kcal, 18g P, 46g C, 10g F, ₹35]</t>
        </is>
      </c>
      <c r="F179" s="11" t="inlineStr">
        <is>
          <t>Vegetable Poha (160g cooked) + 2 Boiled Eggs [360 kcal, 18g P, 42g C, 14g F, ₹32]</t>
        </is>
      </c>
      <c r="G179" s="11" t="inlineStr">
        <is>
          <t>2 Plain Dosas (120g) + Toor Dal Sambar (150ml) + 1 cup warm sprouted moong [330 kcal, 14g P, 48g C, 7g F, ₹25]</t>
        </is>
      </c>
      <c r="H179" s="11" t="inlineStr">
        <is>
          <t>Tender Coconut Water (220ml) + 5 Soaked Almonds [95 kcal, 3g P, 12g C, 4g F, ₹40] | Alt: Fresh Spiced Buttermilk (220ml) with coriander &amp; rock salt [45 kcal, 3g P, 4g C, 1.5g F, ₹15]</t>
        </is>
      </c>
      <c r="I179" s="11" t="inlineStr">
        <is>
          <t>Sona Masoori Rice (150g cooked) + Tender Chicken Curry (130g raw / 95g meat) + Palak (Spinach) Palya (140g) + Rasam [470 kcal, 35g P, 46g C, 13g F, ₹75]</t>
        </is>
      </c>
      <c r="J179" s="11" t="inlineStr">
        <is>
          <t>2 Soft Phulkas (80g) + Fresh Paneer Curry (85g paneer in light gravy) + French Beans Palya (120g) [450 kcal, 21g P, 44g C, 19g F, ₹55]</t>
        </is>
      </c>
      <c r="K179" s="11" t="inlineStr">
        <is>
          <t>Rice (150g) + Toor Dal Tadka (180g) + 2 Boiled Eggs + Beetroot Poriyal (120g) [460 kcal, 25g P, 52g C, 14g F, ₹42]</t>
        </is>
      </c>
      <c r="L179" s="11" t="inlineStr">
        <is>
          <t>Roasted Makhana (30g) + Hot Green Tea with lemon [130 kcal, 3g P, 21g C, 3.5g F, ₹25] | Alt: Boiled Chickpeas Sundal (70g) with mustard &amp; curry leaves [125 kcal, 6g P, 20g C, 2.5g F, ₹18]</t>
        </is>
      </c>
      <c r="M179" s="11" t="inlineStr">
        <is>
          <t>2 Soft Phulkas (75g) + 2 Boiled Eggs in Tomato Onion Curry + Cucumber Salad (100g) [415 kcal, 21g P, 42g C, 15g F, ₹38]</t>
        </is>
      </c>
      <c r="N179" s="11" t="inlineStr">
        <is>
          <t>2 Phulkas (75g) + Grilled Chicken Strips (100g cooked) + Mixed Sautéed Capsicum &amp; Onions [425 kcal, 32g P, 40g C, 11g F, ₹65]</t>
        </is>
      </c>
      <c r="O179" s="11" t="inlineStr">
        <is>
          <t>Warm Moong Dal Vegetable Khichdi (220g) + Fresh Curd (100g) [380 kcal, 15g P, 56g C, 8g F, ₹35]</t>
        </is>
      </c>
      <c r="P179" s="11" t="inlineStr">
        <is>
          <t>Optional Pre: 1 small banana [70 kcal] • Post: 1 cup warm turmeric milk [90 kcal, 6g P]</t>
        </is>
      </c>
      <c r="Q179" s="12" t="n">
        <v>1455</v>
      </c>
      <c r="R179" s="12" t="n">
        <v>80</v>
      </c>
      <c r="S179" s="12" t="n">
        <v>167</v>
      </c>
      <c r="T179" s="12" t="n">
        <v>45.5</v>
      </c>
      <c r="U179" s="12" t="n">
        <v>213</v>
      </c>
      <c r="V179" s="11" t="inlineStr">
        <is>
          <t>Cook oats in milk for 4 mins on medium flame. Stir in pinch of cinnamon powder. Weigh raw boneless chicken (130g). Steam spinach lightly with mustard tempering.</t>
        </is>
      </c>
    </row>
    <row r="180" ht="36" customHeight="1">
      <c r="A180" s="7" t="inlineStr">
        <is>
          <t>2027-04-20</t>
        </is>
      </c>
      <c r="B180" s="7" t="n">
        <v>179</v>
      </c>
      <c r="C180" s="7" t="inlineStr">
        <is>
          <t>Tuesday</t>
        </is>
      </c>
      <c r="D180" s="8" t="inlineStr">
        <is>
          <t>Calcium-Rich Ragi Dosa &amp; Fresh Country Egg Feast</t>
        </is>
      </c>
      <c r="E180" s="8" t="inlineStr">
        <is>
          <t>Ragi Dosa (2 medium, 120g) + Coconut Mint Chutney (30g) + 2 Boiled Eggs [350 kcal, 19g P, 40g C, 13g F, ₹35]</t>
        </is>
      </c>
      <c r="F180" s="8" t="inlineStr">
        <is>
          <t>Steamed Idlis (3 pcs, 110g) + Vegetable Sambar (150ml) + 1 Boiled Egg [310 kcal, 13g P, 44g C, 8g F, ₹25]</t>
        </is>
      </c>
      <c r="G180" s="8" t="inlineStr">
        <is>
          <t>Vegetable Upma (180g) + Warm Toned Milk (150ml) [320 kcal, 11g P, 48g C, 9g F, ₹22]</t>
        </is>
      </c>
      <c r="H180" s="8" t="inlineStr">
        <is>
          <t>Fresh Seasonal Fruit (1 Medium Apple or 150g Papaya) + 6 Almonds [115 kcal, 3g P, 22g C, 3.5g F, ₹30] | Alt: Tender Coconut Water (220ml) [45 kcal, 1g P, 10g C, 0g F, ₹35]</t>
        </is>
      </c>
      <c r="I180" s="8" t="inlineStr">
        <is>
          <t>2 Soft Phulkas (80g) + Homestyle Egg Curry (2 eggs) + Cabbage &amp; Carrot Poriyal (140g) + Rasam [445 kcal, 22g P, 48g C, 16g F, ₹42]</t>
        </is>
      </c>
      <c r="J180" s="8" t="inlineStr">
        <is>
          <t>Sona Masoori Rice (150g) + Bengaluru Chicken Curry (95g meat) + Beans Palya (120g) [475 kcal, 34g P, 48g C, 14g F, ₹75]</t>
        </is>
      </c>
      <c r="K180" s="8" t="inlineStr">
        <is>
          <t>Rice (150g) + Thick Toor Dal Tadka (180g) + Fresh Curd (100g) + Tomato Cucumber Salad [440 kcal, 18g P, 56g C, 14g F, ₹40]</t>
        </is>
      </c>
      <c r="L180" s="8" t="inlineStr">
        <is>
          <t>Spiced Boiled Sundal / Chickpeas (80g) with lime [140 kcal, 7g P, 22g C, 3g F, ₹20] | Alt: Roasted Makhana (30g) in 1/2 tsp ghee &amp; rock salt [130 kcal, 3g P, 21g C, 3.5g F, ₹25]</t>
        </is>
      </c>
      <c r="M180" s="8" t="inlineStr">
        <is>
          <t>2 Soft Phulkas (75g) + Home Chicken Curry (100g meat) + Cucumber Salad (100g) [420 kcal, 31g P, 42g C, 12g F, ₹65]</t>
        </is>
      </c>
      <c r="N180" s="8" t="inlineStr">
        <is>
          <t>2 Phulkas (75g) + Fresh Paneer Bhurji (90g paneer, capsicum, onion) + Clear Soup [440 kcal, 20g P, 42g C, 20g F, ₹55]</t>
        </is>
      </c>
      <c r="O180" s="8" t="inlineStr">
        <is>
          <t>Rice-Moong Dal Khichdi (220g) + Curd (100g) + Lauki Sabzi (120g) [385 kcal, 14g P, 58g C, 8.5g F, ₹35]</t>
        </is>
      </c>
      <c r="P180" s="8" t="inlineStr">
        <is>
          <t>Optional Pre: 1 cup tender coconut water [45 kcal] • Post: 1 glass warm milk (150ml) [85 kcal, 5g P]</t>
        </is>
      </c>
      <c r="Q180" s="9" t="n">
        <v>1470</v>
      </c>
      <c r="R180" s="9" t="n">
        <v>82</v>
      </c>
      <c r="S180" s="9" t="n">
        <v>174</v>
      </c>
      <c r="T180" s="9" t="n">
        <v>47.5</v>
      </c>
      <c r="U180" s="9" t="n">
        <v>192</v>
      </c>
      <c r="V180" s="8" t="inlineStr">
        <is>
          <t>Mix ragi flour with equal water, pinch of salt, cumin seeds &amp; chopped onion. Pour on medium hot tawa. Cook vegetables in minimum oil with mustard seeds, curry leaves &amp; grated fresh coconut.</t>
        </is>
      </c>
    </row>
    <row r="181" ht="36" customHeight="1">
      <c r="A181" s="10" t="inlineStr">
        <is>
          <t>2027-04-21</t>
        </is>
      </c>
      <c r="B181" s="10" t="n">
        <v>180</v>
      </c>
      <c r="C181" s="10" t="inlineStr">
        <is>
          <t>Wednesday</t>
        </is>
      </c>
      <c r="D181" s="11" t="inlineStr">
        <is>
          <t>High-Fiber Soya Chunks &amp; Comfort Idli Sambar</t>
        </is>
      </c>
      <c r="E181" s="11" t="inlineStr">
        <is>
          <t>Steamed Idlis (3 pcs, 110g) + Vegetable Sambar (150ml) + 2 Boiled Eggs [340 kcal, 19g P, 38g C, 12g F, ₹35]</t>
        </is>
      </c>
      <c r="F181" s="11" t="inlineStr">
        <is>
          <t>Vegetable Poha (160g cooked) + 1 Boiled Egg [310 kcal, 12g P, 44g C, 9g F, ₹26]</t>
        </is>
      </c>
      <c r="G181" s="11" t="inlineStr">
        <is>
          <t>Rolled Oats cooked in toned milk (40g + 180ml milk) with 1/2 apple [290 kcal, 12g P, 45g C, 6g F, ₹30]</t>
        </is>
      </c>
      <c r="H181" s="11" t="inlineStr">
        <is>
          <t>Spiced Buttermilk / Majjige (220ml) with curry leaves &amp; ginger [45 kcal, 3g P, 4g C, 1.5g F, ₹15] | Alt: Fresh Papaya slices (150g) + 5 almonds [110 kcal, 3g P, 22g C, 3g F, ₹28]</t>
        </is>
      </c>
      <c r="I181" s="11" t="inlineStr">
        <is>
          <t>Sona Masoori Rice (150g cooked) + Soya Chunks Curry (45g dry soya chunks cooked in onion-tomato gravy) + French Beans Palya (130g) + Rasam [460 kcal, 31g P, 56g C, 9g F, ₹42]</t>
        </is>
      </c>
      <c r="J181" s="11" t="inlineStr">
        <is>
          <t>2 Phulkas (80g) + Chicken Curry (95g meat) + Cabbage Poriyal (120g) [440 kcal, 31g P, 44g C, 13g F, ₹65]</t>
        </is>
      </c>
      <c r="K181" s="11" t="inlineStr">
        <is>
          <t>Rice (150g) + Thick Toor Dal (180g) + 2 Boiled Eggs + Ridge Gourd Palya (120g) [455 kcal, 24g P, 52g C, 14g F, ₹40]</t>
        </is>
      </c>
      <c r="L181" s="11" t="inlineStr">
        <is>
          <t>Roasted Kadale / Chana (30g) + Hot Elaichi Tea (100ml milk) [140 kcal, 6g P, 20g C, 3.5g F, ₹18] | Alt: Roasted Makhana (30g) in ghee &amp; rock salt [130 kcal, 3g P, 21g C, 3.5g F, ₹25]</t>
        </is>
      </c>
      <c r="M181" s="11" t="inlineStr">
        <is>
          <t>2 Soft Phulkas (75g) + 2 Boiled Eggs in Mild Curry + Cucumber Carrot Salad (120g) [415 kcal, 21g P, 42g C, 15g F, ₹38]</t>
        </is>
      </c>
      <c r="N181" s="11" t="inlineStr">
        <is>
          <t>2 Phulkas (75g) + Paneer Bhurji (90g paneer, capsicum, tomato) + Warm Soup [445 kcal, 20g P, 44g C, 19g F, ₹58]</t>
        </is>
      </c>
      <c r="O181" s="11" t="inlineStr">
        <is>
          <t>2 Ragi Rotis (120g) + Chicken Curry (90g meat) + Cucumber Slices [425 kcal, 30g P, 46g C, 11g F, ₹68]</t>
        </is>
      </c>
      <c r="P181" s="11" t="inlineStr">
        <is>
          <t>Optional Pre: 1 small banana [70 kcal] • Post: 1 glass warm milk [90 kcal, 6g P]</t>
        </is>
      </c>
      <c r="Q181" s="12" t="n">
        <v>1400</v>
      </c>
      <c r="R181" s="12" t="n">
        <v>80</v>
      </c>
      <c r="S181" s="12" t="n">
        <v>160</v>
      </c>
      <c r="T181" s="12" t="n">
        <v>41</v>
      </c>
      <c r="U181" s="12" t="n">
        <v>151</v>
      </c>
      <c r="V181" s="11" t="inlineStr">
        <is>
          <t>Dip idlis in piping hot sambar. Eggs provide complete amino acid profile. Soak soya chunks in warm water for 15 mins. Squeeze out bitter water completely before cooking.</t>
        </is>
      </c>
    </row>
    <row r="182" ht="36" customHeight="1">
      <c r="A182" s="7" t="inlineStr">
        <is>
          <t>2027-04-22</t>
        </is>
      </c>
      <c r="B182" s="7" t="n">
        <v>181</v>
      </c>
      <c r="C182" s="7" t="inlineStr">
        <is>
          <t>Thursday</t>
        </is>
      </c>
      <c r="D182" s="8" t="inlineStr">
        <is>
          <t>Comfort Steamed Staples &amp; Bengaluru Chicken Curry</t>
        </is>
      </c>
      <c r="E182" s="8" t="inlineStr">
        <is>
          <t>Steamed Idlis (3 pcs, 110g) + Veg Sambar (150ml) + 2 Boiled Eggs (100g) [340 kcal, 19g P, 38g C, 12g F, ₹35]</t>
        </is>
      </c>
      <c r="F182" s="8" t="inlineStr">
        <is>
          <t>Steamed Idlis (3 pcs) + Veg Sambar + 1 cup warm sprouted moong salad (100g) [310 kcal, 13g P, 46g C, 5g F, ₹25]</t>
        </is>
      </c>
      <c r="G182" s="8" t="inlineStr">
        <is>
          <t>Ragi Dosa (2 medium, 120g) + Mint Chutney (30g) + 1 Boiled Egg [320 kcal, 14g P, 42g C, 11g F, ₹28]</t>
        </is>
      </c>
      <c r="H182" s="8" t="inlineStr">
        <is>
          <t>Tender Coconut Water (220ml) + Handful Roasted Chana (25g) [130 kcal, 5g P, 22g C, 2g F, ₹40] | Alt: Fresh Papaya slices (150g) + 5 soaked almonds [110 kcal, 3g P, 22g C, 3g F, ₹30]</t>
        </is>
      </c>
      <c r="I182" s="8" t="inlineStr">
        <is>
          <t>Sona Masoori Rice (150g cooked / 55g raw) + Bengaluru Chicken Curry (130g raw / 95g cooked meat) + French Beans Palya (130g) + Pepper Rasam [475 kcal, 34g P, 48g C, 14g F, ₹75]</t>
        </is>
      </c>
      <c r="J182" s="8" t="inlineStr">
        <is>
          <t>2 Soft Wheat Phulkas (80g) + Homestyle Egg Curry (2 eggs in onion-tomato gravy) + Cabbage Poriyal (140g) [440 kcal, 21g P, 48g C, 16g F, ₹40]</t>
        </is>
      </c>
      <c r="K182" s="8" t="inlineStr">
        <is>
          <t>Sona Masoori Rice (150g) + Thick Toor Dal Tadka (180g) + Paneer Palya (80g paneer) + Fresh Curd (100g) [480 kcal, 23g P, 54g C, 18g F, ₹55]</t>
        </is>
      </c>
      <c r="L182" s="8" t="inlineStr">
        <is>
          <t>Spiced Boiled Sundal / Chickpeas (80g) with mustard tempering &amp; lemon [140 kcal, 7g P, 22g C, 3g F, ₹20] | Alt: Roasted Makhana (30g) in 1/2 tsp ghee &amp; rock salt [130 kcal, 3g P, 21g C, 3.5g F, ₹25]</t>
        </is>
      </c>
      <c r="M182" s="8" t="inlineStr">
        <is>
          <t>2 Soft Whole Wheat Phulkas (75g) + Grilled/Pan Chicken Curry (100g meat) + Cucumber Tomato Salad (120g) [420 kcal, 31g P, 42g C, 12g F, ₹65]</t>
        </is>
      </c>
      <c r="N182" s="8" t="inlineStr">
        <is>
          <t>2 Phulkas (75g) + Fresh Paneer Bhurji (90g paneer with capsicum &amp; onion) + Tomato Clear Soup [440 kcal, 20g P, 42g C, 20g F, ₹55]</t>
        </is>
      </c>
      <c r="O182" s="8" t="inlineStr">
        <is>
          <t>Warm Rice-Moong Dal Khichdi (220g) + Fresh Curd (100g) + Steamed Beetroot Poriyal (100g) [380 kcal, 14g P, 58g C, 8g F, ₹35]</t>
        </is>
      </c>
      <c r="P182" s="8" t="inlineStr">
        <is>
          <t>Optional Pre: 1 small banana (80g) [70 kcal] • Post: 1 glass warm toned milk with turmeric (180ml) [95 kcal, 6g P]</t>
        </is>
      </c>
      <c r="Q182" s="9" t="n">
        <v>1505</v>
      </c>
      <c r="R182" s="9" t="n">
        <v>96</v>
      </c>
      <c r="S182" s="9" t="n">
        <v>172</v>
      </c>
      <c r="T182" s="9" t="n">
        <v>43</v>
      </c>
      <c r="U182" s="9" t="n">
        <v>235</v>
      </c>
      <c r="V182" s="8" t="inlineStr">
        <is>
          <t>Steam idlis in idli cooker for 10-12 mins. Weigh 110g cooked on kitchen scale. Zero plate on scale, measure 150g warm rice, then add 95g cooked chicken meat without bones.</t>
        </is>
      </c>
    </row>
    <row r="183" ht="36" customHeight="1">
      <c r="A183" s="10" t="inlineStr">
        <is>
          <t>2027-04-23</t>
        </is>
      </c>
      <c r="B183" s="10" t="n">
        <v>182</v>
      </c>
      <c r="C183" s="10" t="inlineStr">
        <is>
          <t>Friday</t>
        </is>
      </c>
      <c r="D183" s="11" t="inlineStr">
        <is>
          <t>Iron-Rich Poha, Egg Curry &amp; Golden Turmeric Phulkas</t>
        </is>
      </c>
      <c r="E183" s="11" t="inlineStr">
        <is>
          <t>Vegetable Poha (160g cooked) tempered with mustard &amp; roasted peanuts (15g) + 1 Boiled Egg [330 kcal, 13g P, 44g C, 11g F, ₹28]</t>
        </is>
      </c>
      <c r="F183" s="11" t="inlineStr">
        <is>
          <t>Vegetable Poha (180g) + 1 glass warm toned milk (150ml) [310 kcal, 11g P, 48g C, 8g F, ₹24]</t>
        </is>
      </c>
      <c r="G183" s="11" t="inlineStr">
        <is>
          <t>Rolled Oats cooked in milk (40g oats + 180ml toned milk) with half diced apple [290 kcal, 12g P, 45g C, 6g F, ₹30]</t>
        </is>
      </c>
      <c r="H183" s="11" t="inlineStr">
        <is>
          <t>Spiced Majjige / Buttermilk (220ml) with grated ginger &amp; curry leaves [45 kcal, 3g P, 4g C, 1.5g F, ₹15] | Alt: 1 Crisp Guava or Apple (130g) with pinch of rock salt [75 kcal, 1.5g P, 18g C, 0.5g F, ₹20]</t>
        </is>
      </c>
      <c r="I183" s="11" t="inlineStr">
        <is>
          <t>2 Soft Phulkas (80g) + 2 Boiled Eggs in Onion-Tomato Gravy (120g gravy) + Ridge Gourd (Heerekayi) Palya (140g) [450 kcal, 22g P, 48g C, 17g F, ₹45]</t>
        </is>
      </c>
      <c r="J183" s="11" t="inlineStr">
        <is>
          <t>Sona Masoori Rice (150g) + Fish Curry (120g rohu/pomfret in light coconut gravy) + Beans Poriyal (120g) [460 kcal, 32g P, 46g C, 13g F, ₹80]</t>
        </is>
      </c>
      <c r="K183" s="11" t="inlineStr">
        <is>
          <t>Cooked Rice (150g) + Mixed Vegetable Sambar (180g) + Pan-seared Tofu or Paneer (80g) + Cucumber Slices [465 kcal, 21g P, 52g C, 17g F, ₹55]</t>
        </is>
      </c>
      <c r="L183" s="11" t="inlineStr">
        <is>
          <t>Boiled Sweet Corn (120g) with lemon squeeze &amp; chaat masala [120 kcal, 4g P, 24g C, 1.5g F, ₹20] | Alt: Roasted Kadale / Chana (30g) + Warm Elaichi Green Tea [125 kcal, 6g P, 18g C, 2.5g F, ₹15]</t>
        </is>
      </c>
      <c r="M183" s="11" t="inlineStr">
        <is>
          <t>2 Soft Phulkas (75g) + Fresh Paneer Bhurji (90g paneer, capsicum, tomato) + Warm Tomato Rasam (150ml) [445 kcal, 21g P, 44g C, 19g F, ₹60]</t>
        </is>
      </c>
      <c r="N183" s="11" t="inlineStr">
        <is>
          <t>2 Ragi Rotis (130g) + Chicken Curry (90g cooked meat) + Onion Cucumber Raita (80g) [430 kcal, 30g P, 46g C, 11g F, ₹70]</t>
        </is>
      </c>
      <c r="O183" s="11" t="inlineStr">
        <is>
          <t>Moong Dal Vegetable Dalia Khichdi (220g) + Fresh Curd (100g) [390 kcal, 16g P, 54g C, 9g F, ₹35]</t>
        </is>
      </c>
      <c r="P183" s="11" t="inlineStr">
        <is>
          <t>Optional Pre: 2 Medjool dates [80 kcal] • Post: 1 boiled egg white or 100g warm milk [55 kcal, 4g P]</t>
        </is>
      </c>
      <c r="Q183" s="12" t="n">
        <v>1390</v>
      </c>
      <c r="R183" s="12" t="n">
        <v>63</v>
      </c>
      <c r="S183" s="12" t="n">
        <v>164</v>
      </c>
      <c r="T183" s="12" t="n">
        <v>50</v>
      </c>
      <c r="U183" s="12" t="n">
        <v>168</v>
      </c>
      <c r="V183" s="11" t="inlineStr">
        <is>
          <t>Rinse thick poha in colander, drain well. Sauté with onion, curry leaves, carrots &amp; roasted peanuts. Prick boiled eggs gently before simmering in gravy to absorb rich flavours.</t>
        </is>
      </c>
    </row>
    <row r="184" ht="36" customHeight="1">
      <c r="A184" s="7" t="inlineStr">
        <is>
          <t>2027-04-24</t>
        </is>
      </c>
      <c r="B184" s="7" t="n">
        <v>183</v>
      </c>
      <c r="C184" s="7" t="inlineStr">
        <is>
          <t>Saturday</t>
        </is>
      </c>
      <c r="D184" s="8" t="inlineStr">
        <is>
          <t>Bengaluru Rava Upma &amp; Fresh Coastal Home Curry</t>
        </is>
      </c>
      <c r="E184" s="8" t="inlineStr">
        <is>
          <t>Bengaluru Vegetable Rava Upma (180g cooked) with roasted peanuts + 1 Boiled Egg [340 kcal, 14g P, 44g C, 12g F, ₹26]</t>
        </is>
      </c>
      <c r="F184" s="8" t="inlineStr">
        <is>
          <t>Vegetable Upma (180g) + 1 glass warm toned milk (150ml) [320 kcal, 11g P, 48g C, 9g F, ₹24]</t>
        </is>
      </c>
      <c r="G184" s="8" t="inlineStr">
        <is>
          <t>Steamed Idlis (3 pcs) with Mint Toor Dal Chutney (40g) + 1 Boiled Egg [320 kcal, 15g P, 42g C, 9g F, ₹28]</t>
        </is>
      </c>
      <c r="H184" s="8" t="inlineStr">
        <is>
          <t>Fresh Fruit Bowl (150g watermelon or papaya) + 6 soaked almonds [110 kcal, 3g P, 22g C, 3g F, ₹30] | Alt: Tender Coconut Water (220ml) [45 kcal, 1g P, 10g C, 0g F, ₹35]</t>
        </is>
      </c>
      <c r="I184" s="8" t="inlineStr">
        <is>
          <t>Sona Masoori Rice (150g cooked) + Bengaluru Fish Curry (120g fresh fish in light gravy) + Cabbage &amp; Pea Poriyal (130g) + Rasam [450 kcal, 33g P, 46g C, 13g F, ₹80]</t>
        </is>
      </c>
      <c r="J184" s="8" t="inlineStr">
        <is>
          <t>2 Phulkas (80g) + Chicken Curry (95g cooked meat) + Cucumber Carrot Salad (100g) [440 kcal, 31g P, 44g C, 13g F, ₹65]</t>
        </is>
      </c>
      <c r="K184" s="8" t="inlineStr">
        <is>
          <t>Rice (150g) + Thick Chana Dal (180g) + Beans Palya (130g) + Fresh Curd (100g) [470 kcal, 22g P, 56g C, 15g F, ₹45]</t>
        </is>
      </c>
      <c r="L184" s="8" t="inlineStr">
        <is>
          <t>Roasted Puri Kadale / Chana (30g) + Warm Ginger Tea (100ml low-fat milk) [140 kcal, 6g P, 20g C, 3.5g F, ₹18] | Alt: Spiced Boiled Moong Sprouts (80g) with lime &amp; salt [110 kcal, 7g P, 18g C, 1g F, ₹15]</t>
        </is>
      </c>
      <c r="M184" s="8" t="inlineStr">
        <is>
          <t>2 Soft Phulkas (75g) + Soya Chunks &amp; Green Pea Curry (45g dry soya + 50g peas) + Fresh Curd (80g) [420 kcal, 29g P, 48g C, 9g F, ₹40]</t>
        </is>
      </c>
      <c r="N184" s="8" t="inlineStr">
        <is>
          <t>2 Phulkas (75g) + 2 Boiled Eggs in Homestyle Curry (100g) + Sliced Cucumber [410 kcal, 21g P, 42g C, 15g F, ₹38]</t>
        </is>
      </c>
      <c r="O184" s="8" t="inlineStr">
        <is>
          <t>2 Ragi Rotis (120g) + Mixed Vegetable Sambar (180ml) + Sautéed Palak (100g) [380 kcal, 14g P, 54g C, 8g F, ₹30]</t>
        </is>
      </c>
      <c r="P184" s="8" t="inlineStr">
        <is>
          <t>Optional Pre: 1 cup tender coconut water [45 kcal] • Post: 1 glass warm milk (150ml) [85 kcal, 5g P]</t>
        </is>
      </c>
      <c r="Q184" s="9" t="n">
        <v>1460</v>
      </c>
      <c r="R184" s="9" t="n">
        <v>85</v>
      </c>
      <c r="S184" s="9" t="n">
        <v>180</v>
      </c>
      <c r="T184" s="9" t="n">
        <v>40.5</v>
      </c>
      <c r="U184" s="9" t="n">
        <v>194</v>
      </c>
      <c r="V184" s="8" t="inlineStr">
        <is>
          <t>Dry roast semolina lightly. Tempered with mustard seeds, chana dal, green chillies &amp; mixed veggies. Use fresh local fish cuts (rohu, pomfret, or seer fish). Simmer gently for 8 mins.</t>
        </is>
      </c>
    </row>
    <row r="185" ht="36" customHeight="1">
      <c r="A185" s="10" t="inlineStr">
        <is>
          <t>2027-04-25</t>
        </is>
      </c>
      <c r="B185" s="10" t="n">
        <v>184</v>
      </c>
      <c r="C185" s="10" t="inlineStr">
        <is>
          <t>Sunday</t>
        </is>
      </c>
      <c r="D185" s="11" t="inlineStr">
        <is>
          <t>Nourishing Rolled Oats &amp; Tender Chicken Palya</t>
        </is>
      </c>
      <c r="E185" s="11" t="inlineStr">
        <is>
          <t>Warm Rolled Oats (40g dry + 180ml toned milk) + 1 Boiled Egg + Apple slices (50g) [345 kcal, 18g P, 46g C, 10g F, ₹35]</t>
        </is>
      </c>
      <c r="F185" s="11" t="inlineStr">
        <is>
          <t>Vegetable Poha (160g cooked) + 2 Boiled Eggs [360 kcal, 18g P, 42g C, 14g F, ₹32]</t>
        </is>
      </c>
      <c r="G185" s="11" t="inlineStr">
        <is>
          <t>2 Plain Dosas (120g) + Toor Dal Sambar (150ml) + 1 cup warm sprouted moong [330 kcal, 14g P, 48g C, 7g F, ₹25]</t>
        </is>
      </c>
      <c r="H185" s="11" t="inlineStr">
        <is>
          <t>Tender Coconut Water (220ml) + 5 Soaked Almonds [95 kcal, 3g P, 12g C, 4g F, ₹40] | Alt: Fresh Spiced Buttermilk (220ml) with coriander &amp; rock salt [45 kcal, 3g P, 4g C, 1.5g F, ₹15]</t>
        </is>
      </c>
      <c r="I185" s="11" t="inlineStr">
        <is>
          <t>Sona Masoori Rice (150g cooked) + Tender Chicken Curry (130g raw / 95g meat) + Palak (Spinach) Palya (140g) + Rasam [470 kcal, 35g P, 46g C, 13g F, ₹75]</t>
        </is>
      </c>
      <c r="J185" s="11" t="inlineStr">
        <is>
          <t>2 Soft Phulkas (80g) + Fresh Paneer Curry (85g paneer in light gravy) + French Beans Palya (120g) [450 kcal, 21g P, 44g C, 19g F, ₹55]</t>
        </is>
      </c>
      <c r="K185" s="11" t="inlineStr">
        <is>
          <t>Rice (150g) + Toor Dal Tadka (180g) + 2 Boiled Eggs + Beetroot Poriyal (120g) [460 kcal, 25g P, 52g C, 14g F, ₹42]</t>
        </is>
      </c>
      <c r="L185" s="11" t="inlineStr">
        <is>
          <t>Roasted Makhana (30g) + Hot Green Tea with lemon [130 kcal, 3g P, 21g C, 3.5g F, ₹25] | Alt: Boiled Chickpeas Sundal (70g) with mustard &amp; curry leaves [125 kcal, 6g P, 20g C, 2.5g F, ₹18]</t>
        </is>
      </c>
      <c r="M185" s="11" t="inlineStr">
        <is>
          <t>2 Soft Phulkas (75g) + 2 Boiled Eggs in Tomato Onion Curry + Cucumber Salad (100g) [415 kcal, 21g P, 42g C, 15g F, ₹38]</t>
        </is>
      </c>
      <c r="N185" s="11" t="inlineStr">
        <is>
          <t>2 Phulkas (75g) + Grilled Chicken Strips (100g cooked) + Mixed Sautéed Capsicum &amp; Onions [425 kcal, 32g P, 40g C, 11g F, ₹65]</t>
        </is>
      </c>
      <c r="O185" s="11" t="inlineStr">
        <is>
          <t>Warm Moong Dal Vegetable Khichdi (220g) + Fresh Curd (100g) [380 kcal, 15g P, 56g C, 8g F, ₹35]</t>
        </is>
      </c>
      <c r="P185" s="11" t="inlineStr">
        <is>
          <t>Optional Pre: 1 small banana [70 kcal] • Post: 1 cup warm turmeric milk [90 kcal, 6g P]</t>
        </is>
      </c>
      <c r="Q185" s="12" t="n">
        <v>1455</v>
      </c>
      <c r="R185" s="12" t="n">
        <v>80</v>
      </c>
      <c r="S185" s="12" t="n">
        <v>167</v>
      </c>
      <c r="T185" s="12" t="n">
        <v>45.5</v>
      </c>
      <c r="U185" s="12" t="n">
        <v>213</v>
      </c>
      <c r="V185" s="11" t="inlineStr">
        <is>
          <t>Cook oats in milk for 4 mins on medium flame. Stir in pinch of cinnamon powder. Weigh raw boneless chicken (130g). Steam spinach lightly with mustard tempering.</t>
        </is>
      </c>
    </row>
    <row r="186" ht="36" customHeight="1">
      <c r="A186" s="7" t="inlineStr">
        <is>
          <t>2027-04-26</t>
        </is>
      </c>
      <c r="B186" s="7" t="n">
        <v>185</v>
      </c>
      <c r="C186" s="7" t="inlineStr">
        <is>
          <t>Monday</t>
        </is>
      </c>
      <c r="D186" s="8" t="inlineStr">
        <is>
          <t>Calcium-Rich Ragi Dosa &amp; Fresh Country Egg Feast</t>
        </is>
      </c>
      <c r="E186" s="8" t="inlineStr">
        <is>
          <t>Ragi Dosa (2 medium, 120g) + Coconut Mint Chutney (30g) + 2 Boiled Eggs [350 kcal, 19g P, 40g C, 13g F, ₹35]</t>
        </is>
      </c>
      <c r="F186" s="8" t="inlineStr">
        <is>
          <t>Steamed Idlis (3 pcs, 110g) + Vegetable Sambar (150ml) + 1 Boiled Egg [310 kcal, 13g P, 44g C, 8g F, ₹25]</t>
        </is>
      </c>
      <c r="G186" s="8" t="inlineStr">
        <is>
          <t>Vegetable Upma (180g) + Warm Toned Milk (150ml) [320 kcal, 11g P, 48g C, 9g F, ₹22]</t>
        </is>
      </c>
      <c r="H186" s="8" t="inlineStr">
        <is>
          <t>Fresh Seasonal Fruit (1 Medium Apple or 150g Papaya) + 6 Almonds [115 kcal, 3g P, 22g C, 3.5g F, ₹30] | Alt: Tender Coconut Water (220ml) [45 kcal, 1g P, 10g C, 0g F, ₹35]</t>
        </is>
      </c>
      <c r="I186" s="8" t="inlineStr">
        <is>
          <t>2 Soft Phulkas (80g) + Homestyle Egg Curry (2 eggs) + Cabbage &amp; Carrot Poriyal (140g) + Rasam [445 kcal, 22g P, 48g C, 16g F, ₹42]</t>
        </is>
      </c>
      <c r="J186" s="8" t="inlineStr">
        <is>
          <t>Sona Masoori Rice (150g) + Bengaluru Chicken Curry (95g meat) + Beans Palya (120g) [475 kcal, 34g P, 48g C, 14g F, ₹75]</t>
        </is>
      </c>
      <c r="K186" s="8" t="inlineStr">
        <is>
          <t>Rice (150g) + Thick Toor Dal Tadka (180g) + Fresh Curd (100g) + Tomato Cucumber Salad [440 kcal, 18g P, 56g C, 14g F, ₹40]</t>
        </is>
      </c>
      <c r="L186" s="8" t="inlineStr">
        <is>
          <t>Spiced Boiled Sundal / Chickpeas (80g) with lime [140 kcal, 7g P, 22g C, 3g F, ₹20] | Alt: Roasted Makhana (30g) in 1/2 tsp ghee &amp; rock salt [130 kcal, 3g P, 21g C, 3.5g F, ₹25]</t>
        </is>
      </c>
      <c r="M186" s="8" t="inlineStr">
        <is>
          <t>2 Soft Phulkas (75g) + Home Chicken Curry (100g meat) + Cucumber Salad (100g) [420 kcal, 31g P, 42g C, 12g F, ₹65]</t>
        </is>
      </c>
      <c r="N186" s="8" t="inlineStr">
        <is>
          <t>2 Phulkas (75g) + Fresh Paneer Bhurji (90g paneer, capsicum, onion) + Clear Soup [440 kcal, 20g P, 42g C, 20g F, ₹55]</t>
        </is>
      </c>
      <c r="O186" s="8" t="inlineStr">
        <is>
          <t>Rice-Moong Dal Khichdi (220g) + Curd (100g) + Lauki Sabzi (120g) [385 kcal, 14g P, 58g C, 8.5g F, ₹35]</t>
        </is>
      </c>
      <c r="P186" s="8" t="inlineStr">
        <is>
          <t>Optional Pre: 1 cup tender coconut water [45 kcal] • Post: 1 glass warm milk (150ml) [85 kcal, 5g P]</t>
        </is>
      </c>
      <c r="Q186" s="9" t="n">
        <v>1470</v>
      </c>
      <c r="R186" s="9" t="n">
        <v>82</v>
      </c>
      <c r="S186" s="9" t="n">
        <v>174</v>
      </c>
      <c r="T186" s="9" t="n">
        <v>47.5</v>
      </c>
      <c r="U186" s="9" t="n">
        <v>192</v>
      </c>
      <c r="V186" s="8" t="inlineStr">
        <is>
          <t>Mix ragi flour with equal water, pinch of salt, cumin seeds &amp; chopped onion. Pour on medium hot tawa. Cook vegetables in minimum oil with mustard seeds, curry leaves &amp; grated fresh coconut.</t>
        </is>
      </c>
    </row>
    <row r="187" ht="36" customHeight="1">
      <c r="A187" s="10" t="inlineStr">
        <is>
          <t>2027-04-27</t>
        </is>
      </c>
      <c r="B187" s="10" t="n">
        <v>186</v>
      </c>
      <c r="C187" s="10" t="inlineStr">
        <is>
          <t>Tuesday</t>
        </is>
      </c>
      <c r="D187" s="11" t="inlineStr">
        <is>
          <t>High-Fiber Soya Chunks &amp; Comfort Idli Sambar</t>
        </is>
      </c>
      <c r="E187" s="11" t="inlineStr">
        <is>
          <t>Steamed Idlis (3 pcs, 110g) + Vegetable Sambar (150ml) + 2 Boiled Eggs [340 kcal, 19g P, 38g C, 12g F, ₹35]</t>
        </is>
      </c>
      <c r="F187" s="11" t="inlineStr">
        <is>
          <t>Vegetable Poha (160g cooked) + 1 Boiled Egg [310 kcal, 12g P, 44g C, 9g F, ₹26]</t>
        </is>
      </c>
      <c r="G187" s="11" t="inlineStr">
        <is>
          <t>Rolled Oats cooked in toned milk (40g + 180ml milk) with 1/2 apple [290 kcal, 12g P, 45g C, 6g F, ₹30]</t>
        </is>
      </c>
      <c r="H187" s="11" t="inlineStr">
        <is>
          <t>Spiced Buttermilk / Majjige (220ml) with curry leaves &amp; ginger [45 kcal, 3g P, 4g C, 1.5g F, ₹15] | Alt: Fresh Papaya slices (150g) + 5 almonds [110 kcal, 3g P, 22g C, 3g F, ₹28]</t>
        </is>
      </c>
      <c r="I187" s="11" t="inlineStr">
        <is>
          <t>Sona Masoori Rice (150g cooked) + Soya Chunks Curry (45g dry soya chunks cooked in onion-tomato gravy) + French Beans Palya (130g) + Rasam [460 kcal, 31g P, 56g C, 9g F, ₹42]</t>
        </is>
      </c>
      <c r="J187" s="11" t="inlineStr">
        <is>
          <t>2 Phulkas (80g) + Chicken Curry (95g meat) + Cabbage Poriyal (120g) [440 kcal, 31g P, 44g C, 13g F, ₹65]</t>
        </is>
      </c>
      <c r="K187" s="11" t="inlineStr">
        <is>
          <t>Rice (150g) + Thick Toor Dal (180g) + 2 Boiled Eggs + Ridge Gourd Palya (120g) [455 kcal, 24g P, 52g C, 14g F, ₹40]</t>
        </is>
      </c>
      <c r="L187" s="11" t="inlineStr">
        <is>
          <t>Roasted Kadale / Chana (30g) + Hot Elaichi Tea (100ml milk) [140 kcal, 6g P, 20g C, 3.5g F, ₹18] | Alt: Roasted Makhana (30g) in ghee &amp; rock salt [130 kcal, 3g P, 21g C, 3.5g F, ₹25]</t>
        </is>
      </c>
      <c r="M187" s="11" t="inlineStr">
        <is>
          <t>2 Soft Phulkas (75g) + 2 Boiled Eggs in Mild Curry + Cucumber Carrot Salad (120g) [415 kcal, 21g P, 42g C, 15g F, ₹38]</t>
        </is>
      </c>
      <c r="N187" s="11" t="inlineStr">
        <is>
          <t>2 Phulkas (75g) + Paneer Bhurji (90g paneer, capsicum, tomato) + Warm Soup [445 kcal, 20g P, 44g C, 19g F, ₹58]</t>
        </is>
      </c>
      <c r="O187" s="11" t="inlineStr">
        <is>
          <t>2 Ragi Rotis (120g) + Chicken Curry (90g meat) + Cucumber Slices [425 kcal, 30g P, 46g C, 11g F, ₹68]</t>
        </is>
      </c>
      <c r="P187" s="11" t="inlineStr">
        <is>
          <t>Optional Pre: 1 small banana [70 kcal] • Post: 1 glass warm milk [90 kcal, 6g P]</t>
        </is>
      </c>
      <c r="Q187" s="12" t="n">
        <v>1400</v>
      </c>
      <c r="R187" s="12" t="n">
        <v>80</v>
      </c>
      <c r="S187" s="12" t="n">
        <v>160</v>
      </c>
      <c r="T187" s="12" t="n">
        <v>41</v>
      </c>
      <c r="U187" s="12" t="n">
        <v>151</v>
      </c>
      <c r="V187" s="11" t="inlineStr">
        <is>
          <t>Dip idlis in piping hot sambar. Eggs provide complete amino acid profile. Soak soya chunks in warm water for 15 mins. Squeeze out bitter water completely before cooking.</t>
        </is>
      </c>
    </row>
    <row r="188" ht="36" customHeight="1">
      <c r="A188" s="7" t="inlineStr">
        <is>
          <t>2027-04-28</t>
        </is>
      </c>
      <c r="B188" s="7" t="n">
        <v>187</v>
      </c>
      <c r="C188" s="7" t="inlineStr">
        <is>
          <t>Wednesday</t>
        </is>
      </c>
      <c r="D188" s="8" t="inlineStr">
        <is>
          <t>Comfort Steamed Staples &amp; Bengaluru Chicken Curry</t>
        </is>
      </c>
      <c r="E188" s="8" t="inlineStr">
        <is>
          <t>Steamed Idlis (3 pcs, 110g) + Veg Sambar (150ml) + 2 Boiled Eggs (100g) [340 kcal, 19g P, 38g C, 12g F, ₹35]</t>
        </is>
      </c>
      <c r="F188" s="8" t="inlineStr">
        <is>
          <t>Steamed Idlis (3 pcs) + Veg Sambar + 1 cup warm sprouted moong salad (100g) [310 kcal, 13g P, 46g C, 5g F, ₹25]</t>
        </is>
      </c>
      <c r="G188" s="8" t="inlineStr">
        <is>
          <t>Ragi Dosa (2 medium, 120g) + Mint Chutney (30g) + 1 Boiled Egg [320 kcal, 14g P, 42g C, 11g F, ₹28]</t>
        </is>
      </c>
      <c r="H188" s="8" t="inlineStr">
        <is>
          <t>Tender Coconut Water (220ml) + Handful Roasted Chana (25g) [130 kcal, 5g P, 22g C, 2g F, ₹40] | Alt: Fresh Papaya slices (150g) + 5 soaked almonds [110 kcal, 3g P, 22g C, 3g F, ₹30]</t>
        </is>
      </c>
      <c r="I188" s="8" t="inlineStr">
        <is>
          <t>Sona Masoori Rice (150g cooked / 55g raw) + Bengaluru Chicken Curry (130g raw / 95g cooked meat) + French Beans Palya (130g) + Pepper Rasam [475 kcal, 34g P, 48g C, 14g F, ₹75]</t>
        </is>
      </c>
      <c r="J188" s="8" t="inlineStr">
        <is>
          <t>2 Soft Wheat Phulkas (80g) + Homestyle Egg Curry (2 eggs in onion-tomato gravy) + Cabbage Poriyal (140g) [440 kcal, 21g P, 48g C, 16g F, ₹40]</t>
        </is>
      </c>
      <c r="K188" s="8" t="inlineStr">
        <is>
          <t>Sona Masoori Rice (150g) + Thick Toor Dal Tadka (180g) + Paneer Palya (80g paneer) + Fresh Curd (100g) [480 kcal, 23g P, 54g C, 18g F, ₹55]</t>
        </is>
      </c>
      <c r="L188" s="8" t="inlineStr">
        <is>
          <t>Spiced Boiled Sundal / Chickpeas (80g) with mustard tempering &amp; lemon [140 kcal, 7g P, 22g C, 3g F, ₹20] | Alt: Roasted Makhana (30g) in 1/2 tsp ghee &amp; rock salt [130 kcal, 3g P, 21g C, 3.5g F, ₹25]</t>
        </is>
      </c>
      <c r="M188" s="8" t="inlineStr">
        <is>
          <t>2 Soft Whole Wheat Phulkas (75g) + Grilled/Pan Chicken Curry (100g meat) + Cucumber Tomato Salad (120g) [420 kcal, 31g P, 42g C, 12g F, ₹65]</t>
        </is>
      </c>
      <c r="N188" s="8" t="inlineStr">
        <is>
          <t>2 Phulkas (75g) + Fresh Paneer Bhurji (90g paneer with capsicum &amp; onion) + Tomato Clear Soup [440 kcal, 20g P, 42g C, 20g F, ₹55]</t>
        </is>
      </c>
      <c r="O188" s="8" t="inlineStr">
        <is>
          <t>Warm Rice-Moong Dal Khichdi (220g) + Fresh Curd (100g) + Steamed Beetroot Poriyal (100g) [380 kcal, 14g P, 58g C, 8g F, ₹35]</t>
        </is>
      </c>
      <c r="P188" s="8" t="inlineStr">
        <is>
          <t>Optional Pre: 1 small banana (80g) [70 kcal] • Post: 1 glass warm toned milk with turmeric (180ml) [95 kcal, 6g P]</t>
        </is>
      </c>
      <c r="Q188" s="9" t="n">
        <v>1505</v>
      </c>
      <c r="R188" s="9" t="n">
        <v>96</v>
      </c>
      <c r="S188" s="9" t="n">
        <v>172</v>
      </c>
      <c r="T188" s="9" t="n">
        <v>43</v>
      </c>
      <c r="U188" s="9" t="n">
        <v>235</v>
      </c>
      <c r="V188" s="8" t="inlineStr">
        <is>
          <t>Steam idlis in idli cooker for 10-12 mins. Weigh 110g cooked on kitchen scale. Zero plate on scale, measure 150g warm rice, then add 95g cooked chicken meat without bones.</t>
        </is>
      </c>
    </row>
    <row r="189" ht="36" customHeight="1">
      <c r="A189" s="10" t="inlineStr">
        <is>
          <t>2027-04-29</t>
        </is>
      </c>
      <c r="B189" s="10" t="n">
        <v>188</v>
      </c>
      <c r="C189" s="10" t="inlineStr">
        <is>
          <t>Thursday</t>
        </is>
      </c>
      <c r="D189" s="11" t="inlineStr">
        <is>
          <t>Iron-Rich Poha, Egg Curry &amp; Golden Turmeric Phulkas</t>
        </is>
      </c>
      <c r="E189" s="11" t="inlineStr">
        <is>
          <t>Vegetable Poha (160g cooked) tempered with mustard &amp; roasted peanuts (15g) + 1 Boiled Egg [330 kcal, 13g P, 44g C, 11g F, ₹28]</t>
        </is>
      </c>
      <c r="F189" s="11" t="inlineStr">
        <is>
          <t>Vegetable Poha (180g) + 1 glass warm toned milk (150ml) [310 kcal, 11g P, 48g C, 8g F, ₹24]</t>
        </is>
      </c>
      <c r="G189" s="11" t="inlineStr">
        <is>
          <t>Rolled Oats cooked in milk (40g oats + 180ml toned milk) with half diced apple [290 kcal, 12g P, 45g C, 6g F, ₹30]</t>
        </is>
      </c>
      <c r="H189" s="11" t="inlineStr">
        <is>
          <t>Spiced Majjige / Buttermilk (220ml) with grated ginger &amp; curry leaves [45 kcal, 3g P, 4g C, 1.5g F, ₹15] | Alt: 1 Crisp Guava or Apple (130g) with pinch of rock salt [75 kcal, 1.5g P, 18g C, 0.5g F, ₹20]</t>
        </is>
      </c>
      <c r="I189" s="11" t="inlineStr">
        <is>
          <t>2 Soft Phulkas (80g) + 2 Boiled Eggs in Onion-Tomato Gravy (120g gravy) + Ridge Gourd (Heerekayi) Palya (140g) [450 kcal, 22g P, 48g C, 17g F, ₹45]</t>
        </is>
      </c>
      <c r="J189" s="11" t="inlineStr">
        <is>
          <t>Sona Masoori Rice (150g) + Fish Curry (120g rohu/pomfret in light coconut gravy) + Beans Poriyal (120g) [460 kcal, 32g P, 46g C, 13g F, ₹80]</t>
        </is>
      </c>
      <c r="K189" s="11" t="inlineStr">
        <is>
          <t>Cooked Rice (150g) + Mixed Vegetable Sambar (180g) + Pan-seared Tofu or Paneer (80g) + Cucumber Slices [465 kcal, 21g P, 52g C, 17g F, ₹55]</t>
        </is>
      </c>
      <c r="L189" s="11" t="inlineStr">
        <is>
          <t>Boiled Sweet Corn (120g) with lemon squeeze &amp; chaat masala [120 kcal, 4g P, 24g C, 1.5g F, ₹20] | Alt: Roasted Kadale / Chana (30g) + Warm Elaichi Green Tea [125 kcal, 6g P, 18g C, 2.5g F, ₹15]</t>
        </is>
      </c>
      <c r="M189" s="11" t="inlineStr">
        <is>
          <t>2 Soft Phulkas (75g) + Fresh Paneer Bhurji (90g paneer, capsicum, tomato) + Warm Tomato Rasam (150ml) [445 kcal, 21g P, 44g C, 19g F, ₹60]</t>
        </is>
      </c>
      <c r="N189" s="11" t="inlineStr">
        <is>
          <t>2 Ragi Rotis (130g) + Chicken Curry (90g cooked meat) + Onion Cucumber Raita (80g) [430 kcal, 30g P, 46g C, 11g F, ₹70]</t>
        </is>
      </c>
      <c r="O189" s="11" t="inlineStr">
        <is>
          <t>Moong Dal Vegetable Dalia Khichdi (220g) + Fresh Curd (100g) [390 kcal, 16g P, 54g C, 9g F, ₹35]</t>
        </is>
      </c>
      <c r="P189" s="11" t="inlineStr">
        <is>
          <t>Optional Pre: 2 Medjool dates [80 kcal] • Post: 1 boiled egg white or 100g warm milk [55 kcal, 4g P]</t>
        </is>
      </c>
      <c r="Q189" s="12" t="n">
        <v>1390</v>
      </c>
      <c r="R189" s="12" t="n">
        <v>63</v>
      </c>
      <c r="S189" s="12" t="n">
        <v>164</v>
      </c>
      <c r="T189" s="12" t="n">
        <v>50</v>
      </c>
      <c r="U189" s="12" t="n">
        <v>168</v>
      </c>
      <c r="V189" s="11" t="inlineStr">
        <is>
          <t>Rinse thick poha in colander, drain well. Sauté with onion, curry leaves, carrots &amp; roasted peanuts. Prick boiled eggs gently before simmering in gravy to absorb rich flavours.</t>
        </is>
      </c>
    </row>
    <row r="190" ht="36" customHeight="1">
      <c r="A190" s="7" t="inlineStr">
        <is>
          <t>2027-04-30</t>
        </is>
      </c>
      <c r="B190" s="7" t="n">
        <v>189</v>
      </c>
      <c r="C190" s="7" t="inlineStr">
        <is>
          <t>Friday</t>
        </is>
      </c>
      <c r="D190" s="8" t="inlineStr">
        <is>
          <t>Bengaluru Rava Upma &amp; Fresh Coastal Home Curry</t>
        </is>
      </c>
      <c r="E190" s="8" t="inlineStr">
        <is>
          <t>Bengaluru Vegetable Rava Upma (180g cooked) with roasted peanuts + 1 Boiled Egg [340 kcal, 14g P, 44g C, 12g F, ₹26]</t>
        </is>
      </c>
      <c r="F190" s="8" t="inlineStr">
        <is>
          <t>Vegetable Upma (180g) + 1 glass warm toned milk (150ml) [320 kcal, 11g P, 48g C, 9g F, ₹24]</t>
        </is>
      </c>
      <c r="G190" s="8" t="inlineStr">
        <is>
          <t>Steamed Idlis (3 pcs) with Mint Toor Dal Chutney (40g) + 1 Boiled Egg [320 kcal, 15g P, 42g C, 9g F, ₹28]</t>
        </is>
      </c>
      <c r="H190" s="8" t="inlineStr">
        <is>
          <t>Fresh Fruit Bowl (150g watermelon or papaya) + 6 soaked almonds [110 kcal, 3g P, 22g C, 3g F, ₹30] | Alt: Tender Coconut Water (220ml) [45 kcal, 1g P, 10g C, 0g F, ₹35]</t>
        </is>
      </c>
      <c r="I190" s="8" t="inlineStr">
        <is>
          <t>Sona Masoori Rice (150g cooked) + Bengaluru Fish Curry (120g fresh fish in light gravy) + Cabbage &amp; Pea Poriyal (130g) + Rasam [450 kcal, 33g P, 46g C, 13g F, ₹80]</t>
        </is>
      </c>
      <c r="J190" s="8" t="inlineStr">
        <is>
          <t>2 Phulkas (80g) + Chicken Curry (95g cooked meat) + Cucumber Carrot Salad (100g) [440 kcal, 31g P, 44g C, 13g F, ₹65]</t>
        </is>
      </c>
      <c r="K190" s="8" t="inlineStr">
        <is>
          <t>Rice (150g) + Thick Chana Dal (180g) + Beans Palya (130g) + Fresh Curd (100g) [470 kcal, 22g P, 56g C, 15g F, ₹45]</t>
        </is>
      </c>
      <c r="L190" s="8" t="inlineStr">
        <is>
          <t>Roasted Puri Kadale / Chana (30g) + Warm Ginger Tea (100ml low-fat milk) [140 kcal, 6g P, 20g C, 3.5g F, ₹18] | Alt: Spiced Boiled Moong Sprouts (80g) with lime &amp; salt [110 kcal, 7g P, 18g C, 1g F, ₹15]</t>
        </is>
      </c>
      <c r="M190" s="8" t="inlineStr">
        <is>
          <t>2 Soft Phulkas (75g) + Soya Chunks &amp; Green Pea Curry (45g dry soya + 50g peas) + Fresh Curd (80g) [420 kcal, 29g P, 48g C, 9g F, ₹40]</t>
        </is>
      </c>
      <c r="N190" s="8" t="inlineStr">
        <is>
          <t>2 Phulkas (75g) + 2 Boiled Eggs in Homestyle Curry (100g) + Sliced Cucumber [410 kcal, 21g P, 42g C, 15g F, ₹38]</t>
        </is>
      </c>
      <c r="O190" s="8" t="inlineStr">
        <is>
          <t>2 Ragi Rotis (120g) + Mixed Vegetable Sambar (180ml) + Sautéed Palak (100g) [380 kcal, 14g P, 54g C, 8g F, ₹30]</t>
        </is>
      </c>
      <c r="P190" s="8" t="inlineStr">
        <is>
          <t>Optional Pre: 1 cup tender coconut water [45 kcal] • Post: 1 glass warm milk (150ml) [85 kcal, 5g P]</t>
        </is>
      </c>
      <c r="Q190" s="9" t="n">
        <v>1460</v>
      </c>
      <c r="R190" s="9" t="n">
        <v>85</v>
      </c>
      <c r="S190" s="9" t="n">
        <v>180</v>
      </c>
      <c r="T190" s="9" t="n">
        <v>40.5</v>
      </c>
      <c r="U190" s="9" t="n">
        <v>194</v>
      </c>
      <c r="V190" s="8" t="inlineStr">
        <is>
          <t>Dry roast semolina lightly. Tempered with mustard seeds, chana dal, green chillies &amp; mixed veggies. Use fresh local fish cuts (rohu, pomfret, or seer fish). Simmer gently for 8 mins.</t>
        </is>
      </c>
    </row>
    <row r="191" ht="36" customHeight="1">
      <c r="A191" s="10" t="inlineStr">
        <is>
          <t>2027-05-01</t>
        </is>
      </c>
      <c r="B191" s="10" t="n">
        <v>190</v>
      </c>
      <c r="C191" s="10" t="inlineStr">
        <is>
          <t>Saturday</t>
        </is>
      </c>
      <c r="D191" s="11" t="inlineStr">
        <is>
          <t>Nourishing Rolled Oats &amp; Tender Chicken Palya</t>
        </is>
      </c>
      <c r="E191" s="11" t="inlineStr">
        <is>
          <t>Warm Rolled Oats (40g dry + 180ml toned milk) + 1 Boiled Egg + Apple slices (50g) [345 kcal, 18g P, 46g C, 10g F, ₹35]</t>
        </is>
      </c>
      <c r="F191" s="11" t="inlineStr">
        <is>
          <t>Vegetable Poha (160g cooked) + 2 Boiled Eggs [360 kcal, 18g P, 42g C, 14g F, ₹32]</t>
        </is>
      </c>
      <c r="G191" s="11" t="inlineStr">
        <is>
          <t>2 Plain Dosas (120g) + Toor Dal Sambar (150ml) + 1 cup warm sprouted moong [330 kcal, 14g P, 48g C, 7g F, ₹25]</t>
        </is>
      </c>
      <c r="H191" s="11" t="inlineStr">
        <is>
          <t>Tender Coconut Water (220ml) + 5 Soaked Almonds [95 kcal, 3g P, 12g C, 4g F, ₹40] | Alt: Fresh Spiced Buttermilk (220ml) with coriander &amp; rock salt [45 kcal, 3g P, 4g C, 1.5g F, ₹15]</t>
        </is>
      </c>
      <c r="I191" s="11" t="inlineStr">
        <is>
          <t>Sona Masoori Rice (150g cooked) + Tender Chicken Curry (130g raw / 95g meat) + Palak (Spinach) Palya (140g) + Rasam [470 kcal, 35g P, 46g C, 13g F, ₹75]</t>
        </is>
      </c>
      <c r="J191" s="11" t="inlineStr">
        <is>
          <t>2 Soft Phulkas (80g) + Fresh Paneer Curry (85g paneer in light gravy) + French Beans Palya (120g) [450 kcal, 21g P, 44g C, 19g F, ₹55]</t>
        </is>
      </c>
      <c r="K191" s="11" t="inlineStr">
        <is>
          <t>Rice (150g) + Toor Dal Tadka (180g) + 2 Boiled Eggs + Beetroot Poriyal (120g) [460 kcal, 25g P, 52g C, 14g F, ₹42]</t>
        </is>
      </c>
      <c r="L191" s="11" t="inlineStr">
        <is>
          <t>Roasted Makhana (30g) + Hot Green Tea with lemon [130 kcal, 3g P, 21g C, 3.5g F, ₹25] | Alt: Boiled Chickpeas Sundal (70g) with mustard &amp; curry leaves [125 kcal, 6g P, 20g C, 2.5g F, ₹18]</t>
        </is>
      </c>
      <c r="M191" s="11" t="inlineStr">
        <is>
          <t>2 Soft Phulkas (75g) + 2 Boiled Eggs in Tomato Onion Curry + Cucumber Salad (100g) [415 kcal, 21g P, 42g C, 15g F, ₹38]</t>
        </is>
      </c>
      <c r="N191" s="11" t="inlineStr">
        <is>
          <t>2 Phulkas (75g) + Grilled Chicken Strips (100g cooked) + Mixed Sautéed Capsicum &amp; Onions [425 kcal, 32g P, 40g C, 11g F, ₹65]</t>
        </is>
      </c>
      <c r="O191" s="11" t="inlineStr">
        <is>
          <t>Warm Moong Dal Vegetable Khichdi (220g) + Fresh Curd (100g) [380 kcal, 15g P, 56g C, 8g F, ₹35]</t>
        </is>
      </c>
      <c r="P191" s="11" t="inlineStr">
        <is>
          <t>Optional Pre: 1 small banana [70 kcal] • Post: 1 cup warm turmeric milk [90 kcal, 6g P]</t>
        </is>
      </c>
      <c r="Q191" s="12" t="n">
        <v>1455</v>
      </c>
      <c r="R191" s="12" t="n">
        <v>80</v>
      </c>
      <c r="S191" s="12" t="n">
        <v>167</v>
      </c>
      <c r="T191" s="12" t="n">
        <v>45.5</v>
      </c>
      <c r="U191" s="12" t="n">
        <v>213</v>
      </c>
      <c r="V191" s="11" t="inlineStr">
        <is>
          <t>Cook oats in milk for 4 mins on medium flame. Stir in pinch of cinnamon powder. Weigh raw boneless chicken (130g). Steam spinach lightly with mustard tempering.</t>
        </is>
      </c>
    </row>
    <row r="192" ht="36" customHeight="1">
      <c r="A192" s="7" t="inlineStr">
        <is>
          <t>2027-05-02</t>
        </is>
      </c>
      <c r="B192" s="7" t="n">
        <v>191</v>
      </c>
      <c r="C192" s="7" t="inlineStr">
        <is>
          <t>Sunday</t>
        </is>
      </c>
      <c r="D192" s="8" t="inlineStr">
        <is>
          <t>Calcium-Rich Ragi Dosa &amp; Fresh Country Egg Feast</t>
        </is>
      </c>
      <c r="E192" s="8" t="inlineStr">
        <is>
          <t>Ragi Dosa (2 medium, 120g) + Coconut Mint Chutney (30g) + 2 Boiled Eggs [350 kcal, 19g P, 40g C, 13g F, ₹35]</t>
        </is>
      </c>
      <c r="F192" s="8" t="inlineStr">
        <is>
          <t>Steamed Idlis (3 pcs, 110g) + Vegetable Sambar (150ml) + 1 Boiled Egg [310 kcal, 13g P, 44g C, 8g F, ₹25]</t>
        </is>
      </c>
      <c r="G192" s="8" t="inlineStr">
        <is>
          <t>Vegetable Upma (180g) + Warm Toned Milk (150ml) [320 kcal, 11g P, 48g C, 9g F, ₹22]</t>
        </is>
      </c>
      <c r="H192" s="8" t="inlineStr">
        <is>
          <t>Fresh Seasonal Fruit (1 Medium Apple or 150g Papaya) + 6 Almonds [115 kcal, 3g P, 22g C, 3.5g F, ₹30] | Alt: Tender Coconut Water (220ml) [45 kcal, 1g P, 10g C, 0g F, ₹35]</t>
        </is>
      </c>
      <c r="I192" s="8" t="inlineStr">
        <is>
          <t>2 Soft Phulkas (80g) + Homestyle Egg Curry (2 eggs) + Cabbage &amp; Carrot Poriyal (140g) + Rasam [445 kcal, 22g P, 48g C, 16g F, ₹42]</t>
        </is>
      </c>
      <c r="J192" s="8" t="inlineStr">
        <is>
          <t>Sona Masoori Rice (150g) + Bengaluru Chicken Curry (95g meat) + Beans Palya (120g) [475 kcal, 34g P, 48g C, 14g F, ₹75]</t>
        </is>
      </c>
      <c r="K192" s="8" t="inlineStr">
        <is>
          <t>Rice (150g) + Thick Toor Dal Tadka (180g) + Fresh Curd (100g) + Tomato Cucumber Salad [440 kcal, 18g P, 56g C, 14g F, ₹40]</t>
        </is>
      </c>
      <c r="L192" s="8" t="inlineStr">
        <is>
          <t>Spiced Boiled Sundal / Chickpeas (80g) with lime [140 kcal, 7g P, 22g C, 3g F, ₹20] | Alt: Roasted Makhana (30g) in 1/2 tsp ghee &amp; rock salt [130 kcal, 3g P, 21g C, 3.5g F, ₹25]</t>
        </is>
      </c>
      <c r="M192" s="8" t="inlineStr">
        <is>
          <t>2 Soft Phulkas (75g) + Home Chicken Curry (100g meat) + Cucumber Salad (100g) [420 kcal, 31g P, 42g C, 12g F, ₹65]</t>
        </is>
      </c>
      <c r="N192" s="8" t="inlineStr">
        <is>
          <t>2 Phulkas (75g) + Fresh Paneer Bhurji (90g paneer, capsicum, onion) + Clear Soup [440 kcal, 20g P, 42g C, 20g F, ₹55]</t>
        </is>
      </c>
      <c r="O192" s="8" t="inlineStr">
        <is>
          <t>Rice-Moong Dal Khichdi (220g) + Curd (100g) + Lauki Sabzi (120g) [385 kcal, 14g P, 58g C, 8.5g F, ₹35]</t>
        </is>
      </c>
      <c r="P192" s="8" t="inlineStr">
        <is>
          <t>Optional Pre: 1 cup tender coconut water [45 kcal] • Post: 1 glass warm milk (150ml) [85 kcal, 5g P]</t>
        </is>
      </c>
      <c r="Q192" s="9" t="n">
        <v>1470</v>
      </c>
      <c r="R192" s="9" t="n">
        <v>82</v>
      </c>
      <c r="S192" s="9" t="n">
        <v>174</v>
      </c>
      <c r="T192" s="9" t="n">
        <v>47.5</v>
      </c>
      <c r="U192" s="9" t="n">
        <v>192</v>
      </c>
      <c r="V192" s="8" t="inlineStr">
        <is>
          <t>Mix ragi flour with equal water, pinch of salt, cumin seeds &amp; chopped onion. Pour on medium hot tawa. Cook vegetables in minimum oil with mustard seeds, curry leaves &amp; grated fresh coconut.</t>
        </is>
      </c>
    </row>
    <row r="193" ht="36" customHeight="1">
      <c r="A193" s="10" t="inlineStr">
        <is>
          <t>2027-05-03</t>
        </is>
      </c>
      <c r="B193" s="10" t="n">
        <v>192</v>
      </c>
      <c r="C193" s="10" t="inlineStr">
        <is>
          <t>Monday</t>
        </is>
      </c>
      <c r="D193" s="11" t="inlineStr">
        <is>
          <t>High-Fiber Soya Chunks &amp; Comfort Idli Sambar</t>
        </is>
      </c>
      <c r="E193" s="11" t="inlineStr">
        <is>
          <t>Steamed Idlis (3 pcs, 110g) + Vegetable Sambar (150ml) + 2 Boiled Eggs [340 kcal, 19g P, 38g C, 12g F, ₹35]</t>
        </is>
      </c>
      <c r="F193" s="11" t="inlineStr">
        <is>
          <t>Vegetable Poha (160g cooked) + 1 Boiled Egg [310 kcal, 12g P, 44g C, 9g F, ₹26]</t>
        </is>
      </c>
      <c r="G193" s="11" t="inlineStr">
        <is>
          <t>Rolled Oats cooked in toned milk (40g + 180ml milk) with 1/2 apple [290 kcal, 12g P, 45g C, 6g F, ₹30]</t>
        </is>
      </c>
      <c r="H193" s="11" t="inlineStr">
        <is>
          <t>Spiced Buttermilk / Majjige (220ml) with curry leaves &amp; ginger [45 kcal, 3g P, 4g C, 1.5g F, ₹15] | Alt: Fresh Papaya slices (150g) + 5 almonds [110 kcal, 3g P, 22g C, 3g F, ₹28]</t>
        </is>
      </c>
      <c r="I193" s="11" t="inlineStr">
        <is>
          <t>Sona Masoori Rice (150g cooked) + Soya Chunks Curry (45g dry soya chunks cooked in onion-tomato gravy) + French Beans Palya (130g) + Rasam [460 kcal, 31g P, 56g C, 9g F, ₹42]</t>
        </is>
      </c>
      <c r="J193" s="11" t="inlineStr">
        <is>
          <t>2 Phulkas (80g) + Chicken Curry (95g meat) + Cabbage Poriyal (120g) [440 kcal, 31g P, 44g C, 13g F, ₹65]</t>
        </is>
      </c>
      <c r="K193" s="11" t="inlineStr">
        <is>
          <t>Rice (150g) + Thick Toor Dal (180g) + 2 Boiled Eggs + Ridge Gourd Palya (120g) [455 kcal, 24g P, 52g C, 14g F, ₹40]</t>
        </is>
      </c>
      <c r="L193" s="11" t="inlineStr">
        <is>
          <t>Roasted Kadale / Chana (30g) + Hot Elaichi Tea (100ml milk) [140 kcal, 6g P, 20g C, 3.5g F, ₹18] | Alt: Roasted Makhana (30g) in ghee &amp; rock salt [130 kcal, 3g P, 21g C, 3.5g F, ₹25]</t>
        </is>
      </c>
      <c r="M193" s="11" t="inlineStr">
        <is>
          <t>2 Soft Phulkas (75g) + 2 Boiled Eggs in Mild Curry + Cucumber Carrot Salad (120g) [415 kcal, 21g P, 42g C, 15g F, ₹38]</t>
        </is>
      </c>
      <c r="N193" s="11" t="inlineStr">
        <is>
          <t>2 Phulkas (75g) + Paneer Bhurji (90g paneer, capsicum, tomato) + Warm Soup [445 kcal, 20g P, 44g C, 19g F, ₹58]</t>
        </is>
      </c>
      <c r="O193" s="11" t="inlineStr">
        <is>
          <t>2 Ragi Rotis (120g) + Chicken Curry (90g meat) + Cucumber Slices [425 kcal, 30g P, 46g C, 11g F, ₹68]</t>
        </is>
      </c>
      <c r="P193" s="11" t="inlineStr">
        <is>
          <t>Optional Pre: 1 small banana [70 kcal] • Post: 1 glass warm milk [90 kcal, 6g P]</t>
        </is>
      </c>
      <c r="Q193" s="12" t="n">
        <v>1400</v>
      </c>
      <c r="R193" s="12" t="n">
        <v>80</v>
      </c>
      <c r="S193" s="12" t="n">
        <v>160</v>
      </c>
      <c r="T193" s="12" t="n">
        <v>41</v>
      </c>
      <c r="U193" s="12" t="n">
        <v>151</v>
      </c>
      <c r="V193" s="11" t="inlineStr">
        <is>
          <t>Dip idlis in piping hot sambar. Eggs provide complete amino acid profile. Soak soya chunks in warm water for 15 mins. Squeeze out bitter water completely before cooking.</t>
        </is>
      </c>
    </row>
    <row r="194" ht="36" customHeight="1">
      <c r="A194" s="7" t="inlineStr">
        <is>
          <t>2027-05-04</t>
        </is>
      </c>
      <c r="B194" s="7" t="n">
        <v>193</v>
      </c>
      <c r="C194" s="7" t="inlineStr">
        <is>
          <t>Tuesday</t>
        </is>
      </c>
      <c r="D194" s="8" t="inlineStr">
        <is>
          <t>Comfort Steamed Staples &amp; Bengaluru Chicken Curry</t>
        </is>
      </c>
      <c r="E194" s="8" t="inlineStr">
        <is>
          <t>Steamed Idlis (3 pcs, 110g) + Veg Sambar (150ml) + 2 Boiled Eggs (100g) [340 kcal, 19g P, 38g C, 12g F, ₹35]</t>
        </is>
      </c>
      <c r="F194" s="8" t="inlineStr">
        <is>
          <t>Steamed Idlis (3 pcs) + Veg Sambar + 1 cup warm sprouted moong salad (100g) [310 kcal, 13g P, 46g C, 5g F, ₹25]</t>
        </is>
      </c>
      <c r="G194" s="8" t="inlineStr">
        <is>
          <t>Ragi Dosa (2 medium, 120g) + Mint Chutney (30g) + 1 Boiled Egg [320 kcal, 14g P, 42g C, 11g F, ₹28]</t>
        </is>
      </c>
      <c r="H194" s="8" t="inlineStr">
        <is>
          <t>Tender Coconut Water (220ml) + Handful Roasted Chana (25g) [130 kcal, 5g P, 22g C, 2g F, ₹40] | Alt: Fresh Papaya slices (150g) + 5 soaked almonds [110 kcal, 3g P, 22g C, 3g F, ₹30]</t>
        </is>
      </c>
      <c r="I194" s="8" t="inlineStr">
        <is>
          <t>Sona Masoori Rice (150g cooked / 55g raw) + Bengaluru Chicken Curry (130g raw / 95g cooked meat) + French Beans Palya (130g) + Pepper Rasam [475 kcal, 34g P, 48g C, 14g F, ₹75]</t>
        </is>
      </c>
      <c r="J194" s="8" t="inlineStr">
        <is>
          <t>2 Soft Wheat Phulkas (80g) + Homestyle Egg Curry (2 eggs in onion-tomato gravy) + Cabbage Poriyal (140g) [440 kcal, 21g P, 48g C, 16g F, ₹40]</t>
        </is>
      </c>
      <c r="K194" s="8" t="inlineStr">
        <is>
          <t>Sona Masoori Rice (150g) + Thick Toor Dal Tadka (180g) + Paneer Palya (80g paneer) + Fresh Curd (100g) [480 kcal, 23g P, 54g C, 18g F, ₹55]</t>
        </is>
      </c>
      <c r="L194" s="8" t="inlineStr">
        <is>
          <t>Spiced Boiled Sundal / Chickpeas (80g) with mustard tempering &amp; lemon [140 kcal, 7g P, 22g C, 3g F, ₹20] | Alt: Roasted Makhana (30g) in 1/2 tsp ghee &amp; rock salt [130 kcal, 3g P, 21g C, 3.5g F, ₹25]</t>
        </is>
      </c>
      <c r="M194" s="8" t="inlineStr">
        <is>
          <t>2 Soft Whole Wheat Phulkas (75g) + Grilled/Pan Chicken Curry (100g meat) + Cucumber Tomato Salad (120g) [420 kcal, 31g P, 42g C, 12g F, ₹65]</t>
        </is>
      </c>
      <c r="N194" s="8" t="inlineStr">
        <is>
          <t>2 Phulkas (75g) + Fresh Paneer Bhurji (90g paneer with capsicum &amp; onion) + Tomato Clear Soup [440 kcal, 20g P, 42g C, 20g F, ₹55]</t>
        </is>
      </c>
      <c r="O194" s="8" t="inlineStr">
        <is>
          <t>Warm Rice-Moong Dal Khichdi (220g) + Fresh Curd (100g) + Steamed Beetroot Poriyal (100g) [380 kcal, 14g P, 58g C, 8g F, ₹35]</t>
        </is>
      </c>
      <c r="P194" s="8" t="inlineStr">
        <is>
          <t>Optional Pre: 1 small banana (80g) [70 kcal] • Post: 1 glass warm toned milk with turmeric (180ml) [95 kcal, 6g P]</t>
        </is>
      </c>
      <c r="Q194" s="9" t="n">
        <v>1505</v>
      </c>
      <c r="R194" s="9" t="n">
        <v>96</v>
      </c>
      <c r="S194" s="9" t="n">
        <v>172</v>
      </c>
      <c r="T194" s="9" t="n">
        <v>43</v>
      </c>
      <c r="U194" s="9" t="n">
        <v>235</v>
      </c>
      <c r="V194" s="8" t="inlineStr">
        <is>
          <t>Steam idlis in idli cooker for 10-12 mins. Weigh 110g cooked on kitchen scale. Zero plate on scale, measure 150g warm rice, then add 95g cooked chicken meat without bones.</t>
        </is>
      </c>
    </row>
    <row r="195" ht="36" customHeight="1">
      <c r="A195" s="10" t="inlineStr">
        <is>
          <t>2027-05-05</t>
        </is>
      </c>
      <c r="B195" s="10" t="n">
        <v>194</v>
      </c>
      <c r="C195" s="10" t="inlineStr">
        <is>
          <t>Wednesday</t>
        </is>
      </c>
      <c r="D195" s="11" t="inlineStr">
        <is>
          <t>Iron-Rich Poha, Egg Curry &amp; Golden Turmeric Phulkas</t>
        </is>
      </c>
      <c r="E195" s="11" t="inlineStr">
        <is>
          <t>Vegetable Poha (160g cooked) tempered with mustard &amp; roasted peanuts (15g) + 1 Boiled Egg [330 kcal, 13g P, 44g C, 11g F, ₹28]</t>
        </is>
      </c>
      <c r="F195" s="11" t="inlineStr">
        <is>
          <t>Vegetable Poha (180g) + 1 glass warm toned milk (150ml) [310 kcal, 11g P, 48g C, 8g F, ₹24]</t>
        </is>
      </c>
      <c r="G195" s="11" t="inlineStr">
        <is>
          <t>Rolled Oats cooked in milk (40g oats + 180ml toned milk) with half diced apple [290 kcal, 12g P, 45g C, 6g F, ₹30]</t>
        </is>
      </c>
      <c r="H195" s="11" t="inlineStr">
        <is>
          <t>Spiced Majjige / Buttermilk (220ml) with grated ginger &amp; curry leaves [45 kcal, 3g P, 4g C, 1.5g F, ₹15] | Alt: 1 Crisp Guava or Apple (130g) with pinch of rock salt [75 kcal, 1.5g P, 18g C, 0.5g F, ₹20]</t>
        </is>
      </c>
      <c r="I195" s="11" t="inlineStr">
        <is>
          <t>2 Soft Phulkas (80g) + 2 Boiled Eggs in Onion-Tomato Gravy (120g gravy) + Ridge Gourd (Heerekayi) Palya (140g) [450 kcal, 22g P, 48g C, 17g F, ₹45]</t>
        </is>
      </c>
      <c r="J195" s="11" t="inlineStr">
        <is>
          <t>Sona Masoori Rice (150g) + Fish Curry (120g rohu/pomfret in light coconut gravy) + Beans Poriyal (120g) [460 kcal, 32g P, 46g C, 13g F, ₹80]</t>
        </is>
      </c>
      <c r="K195" s="11" t="inlineStr">
        <is>
          <t>Cooked Rice (150g) + Mixed Vegetable Sambar (180g) + Pan-seared Tofu or Paneer (80g) + Cucumber Slices [465 kcal, 21g P, 52g C, 17g F, ₹55]</t>
        </is>
      </c>
      <c r="L195" s="11" t="inlineStr">
        <is>
          <t>Boiled Sweet Corn (120g) with lemon squeeze &amp; chaat masala [120 kcal, 4g P, 24g C, 1.5g F, ₹20] | Alt: Roasted Kadale / Chana (30g) + Warm Elaichi Green Tea [125 kcal, 6g P, 18g C, 2.5g F, ₹15]</t>
        </is>
      </c>
      <c r="M195" s="11" t="inlineStr">
        <is>
          <t>2 Soft Phulkas (75g) + Fresh Paneer Bhurji (90g paneer, capsicum, tomato) + Warm Tomato Rasam (150ml) [445 kcal, 21g P, 44g C, 19g F, ₹60]</t>
        </is>
      </c>
      <c r="N195" s="11" t="inlineStr">
        <is>
          <t>2 Ragi Rotis (130g) + Chicken Curry (90g cooked meat) + Onion Cucumber Raita (80g) [430 kcal, 30g P, 46g C, 11g F, ₹70]</t>
        </is>
      </c>
      <c r="O195" s="11" t="inlineStr">
        <is>
          <t>Moong Dal Vegetable Dalia Khichdi (220g) + Fresh Curd (100g) [390 kcal, 16g P, 54g C, 9g F, ₹35]</t>
        </is>
      </c>
      <c r="P195" s="11" t="inlineStr">
        <is>
          <t>Optional Pre: 2 Medjool dates [80 kcal] • Post: 1 boiled egg white or 100g warm milk [55 kcal, 4g P]</t>
        </is>
      </c>
      <c r="Q195" s="12" t="n">
        <v>1390</v>
      </c>
      <c r="R195" s="12" t="n">
        <v>63</v>
      </c>
      <c r="S195" s="12" t="n">
        <v>164</v>
      </c>
      <c r="T195" s="12" t="n">
        <v>50</v>
      </c>
      <c r="U195" s="12" t="n">
        <v>168</v>
      </c>
      <c r="V195" s="11" t="inlineStr">
        <is>
          <t>Rinse thick poha in colander, drain well. Sauté with onion, curry leaves, carrots &amp; roasted peanuts. Prick boiled eggs gently before simmering in gravy to absorb rich flavours.</t>
        </is>
      </c>
    </row>
    <row r="196" ht="36" customHeight="1">
      <c r="A196" s="7" t="inlineStr">
        <is>
          <t>2027-05-06</t>
        </is>
      </c>
      <c r="B196" s="7" t="n">
        <v>195</v>
      </c>
      <c r="C196" s="7" t="inlineStr">
        <is>
          <t>Thursday</t>
        </is>
      </c>
      <c r="D196" s="8" t="inlineStr">
        <is>
          <t>Bengaluru Rava Upma &amp; Fresh Coastal Home Curry</t>
        </is>
      </c>
      <c r="E196" s="8" t="inlineStr">
        <is>
          <t>Bengaluru Vegetable Rava Upma (180g cooked) with roasted peanuts + 1 Boiled Egg [340 kcal, 14g P, 44g C, 12g F, ₹26]</t>
        </is>
      </c>
      <c r="F196" s="8" t="inlineStr">
        <is>
          <t>Vegetable Upma (180g) + 1 glass warm toned milk (150ml) [320 kcal, 11g P, 48g C, 9g F, ₹24]</t>
        </is>
      </c>
      <c r="G196" s="8" t="inlineStr">
        <is>
          <t>Steamed Idlis (3 pcs) with Mint Toor Dal Chutney (40g) + 1 Boiled Egg [320 kcal, 15g P, 42g C, 9g F, ₹28]</t>
        </is>
      </c>
      <c r="H196" s="8" t="inlineStr">
        <is>
          <t>Fresh Fruit Bowl (150g watermelon or papaya) + 6 soaked almonds [110 kcal, 3g P, 22g C, 3g F, ₹30] | Alt: Tender Coconut Water (220ml) [45 kcal, 1g P, 10g C, 0g F, ₹35]</t>
        </is>
      </c>
      <c r="I196" s="8" t="inlineStr">
        <is>
          <t>Sona Masoori Rice (150g cooked) + Bengaluru Fish Curry (120g fresh fish in light gravy) + Cabbage &amp; Pea Poriyal (130g) + Rasam [450 kcal, 33g P, 46g C, 13g F, ₹80]</t>
        </is>
      </c>
      <c r="J196" s="8" t="inlineStr">
        <is>
          <t>2 Phulkas (80g) + Chicken Curry (95g cooked meat) + Cucumber Carrot Salad (100g) [440 kcal, 31g P, 44g C, 13g F, ₹65]</t>
        </is>
      </c>
      <c r="K196" s="8" t="inlineStr">
        <is>
          <t>Rice (150g) + Thick Chana Dal (180g) + Beans Palya (130g) + Fresh Curd (100g) [470 kcal, 22g P, 56g C, 15g F, ₹45]</t>
        </is>
      </c>
      <c r="L196" s="8" t="inlineStr">
        <is>
          <t>Roasted Puri Kadale / Chana (30g) + Warm Ginger Tea (100ml low-fat milk) [140 kcal, 6g P, 20g C, 3.5g F, ₹18] | Alt: Spiced Boiled Moong Sprouts (80g) with lime &amp; salt [110 kcal, 7g P, 18g C, 1g F, ₹15]</t>
        </is>
      </c>
      <c r="M196" s="8" t="inlineStr">
        <is>
          <t>2 Soft Phulkas (75g) + Soya Chunks &amp; Green Pea Curry (45g dry soya + 50g peas) + Fresh Curd (80g) [420 kcal, 29g P, 48g C, 9g F, ₹40]</t>
        </is>
      </c>
      <c r="N196" s="8" t="inlineStr">
        <is>
          <t>2 Phulkas (75g) + 2 Boiled Eggs in Homestyle Curry (100g) + Sliced Cucumber [410 kcal, 21g P, 42g C, 15g F, ₹38]</t>
        </is>
      </c>
      <c r="O196" s="8" t="inlineStr">
        <is>
          <t>2 Ragi Rotis (120g) + Mixed Vegetable Sambar (180ml) + Sautéed Palak (100g) [380 kcal, 14g P, 54g C, 8g F, ₹30]</t>
        </is>
      </c>
      <c r="P196" s="8" t="inlineStr">
        <is>
          <t>Optional Pre: 1 cup tender coconut water [45 kcal] • Post: 1 glass warm milk (150ml) [85 kcal, 5g P]</t>
        </is>
      </c>
      <c r="Q196" s="9" t="n">
        <v>1460</v>
      </c>
      <c r="R196" s="9" t="n">
        <v>85</v>
      </c>
      <c r="S196" s="9" t="n">
        <v>180</v>
      </c>
      <c r="T196" s="9" t="n">
        <v>40.5</v>
      </c>
      <c r="U196" s="9" t="n">
        <v>194</v>
      </c>
      <c r="V196" s="8" t="inlineStr">
        <is>
          <t>Dry roast semolina lightly. Tempered with mustard seeds, chana dal, green chillies &amp; mixed veggies. Use fresh local fish cuts (rohu, pomfret, or seer fish). Simmer gently for 8 mins.</t>
        </is>
      </c>
    </row>
    <row r="197" ht="36" customHeight="1">
      <c r="A197" s="10" t="inlineStr">
        <is>
          <t>2027-05-07</t>
        </is>
      </c>
      <c r="B197" s="10" t="n">
        <v>196</v>
      </c>
      <c r="C197" s="10" t="inlineStr">
        <is>
          <t>Friday</t>
        </is>
      </c>
      <c r="D197" s="11" t="inlineStr">
        <is>
          <t>Nourishing Rolled Oats &amp; Tender Chicken Palya</t>
        </is>
      </c>
      <c r="E197" s="11" t="inlineStr">
        <is>
          <t>Warm Rolled Oats (40g dry + 180ml toned milk) + 1 Boiled Egg + Apple slices (50g) [345 kcal, 18g P, 46g C, 10g F, ₹35]</t>
        </is>
      </c>
      <c r="F197" s="11" t="inlineStr">
        <is>
          <t>Vegetable Poha (160g cooked) + 2 Boiled Eggs [360 kcal, 18g P, 42g C, 14g F, ₹32]</t>
        </is>
      </c>
      <c r="G197" s="11" t="inlineStr">
        <is>
          <t>2 Plain Dosas (120g) + Toor Dal Sambar (150ml) + 1 cup warm sprouted moong [330 kcal, 14g P, 48g C, 7g F, ₹25]</t>
        </is>
      </c>
      <c r="H197" s="11" t="inlineStr">
        <is>
          <t>Tender Coconut Water (220ml) + 5 Soaked Almonds [95 kcal, 3g P, 12g C, 4g F, ₹40] | Alt: Fresh Spiced Buttermilk (220ml) with coriander &amp; rock salt [45 kcal, 3g P, 4g C, 1.5g F, ₹15]</t>
        </is>
      </c>
      <c r="I197" s="11" t="inlineStr">
        <is>
          <t>Sona Masoori Rice (150g cooked) + Tender Chicken Curry (130g raw / 95g meat) + Palak (Spinach) Palya (140g) + Rasam [470 kcal, 35g P, 46g C, 13g F, ₹75]</t>
        </is>
      </c>
      <c r="J197" s="11" t="inlineStr">
        <is>
          <t>2 Soft Phulkas (80g) + Fresh Paneer Curry (85g paneer in light gravy) + French Beans Palya (120g) [450 kcal, 21g P, 44g C, 19g F, ₹55]</t>
        </is>
      </c>
      <c r="K197" s="11" t="inlineStr">
        <is>
          <t>Rice (150g) + Toor Dal Tadka (180g) + 2 Boiled Eggs + Beetroot Poriyal (120g) [460 kcal, 25g P, 52g C, 14g F, ₹42]</t>
        </is>
      </c>
      <c r="L197" s="11" t="inlineStr">
        <is>
          <t>Roasted Makhana (30g) + Hot Green Tea with lemon [130 kcal, 3g P, 21g C, 3.5g F, ₹25] | Alt: Boiled Chickpeas Sundal (70g) with mustard &amp; curry leaves [125 kcal, 6g P, 20g C, 2.5g F, ₹18]</t>
        </is>
      </c>
      <c r="M197" s="11" t="inlineStr">
        <is>
          <t>2 Soft Phulkas (75g) + 2 Boiled Eggs in Tomato Onion Curry + Cucumber Salad (100g) [415 kcal, 21g P, 42g C, 15g F, ₹38]</t>
        </is>
      </c>
      <c r="N197" s="11" t="inlineStr">
        <is>
          <t>2 Phulkas (75g) + Grilled Chicken Strips (100g cooked) + Mixed Sautéed Capsicum &amp; Onions [425 kcal, 32g P, 40g C, 11g F, ₹65]</t>
        </is>
      </c>
      <c r="O197" s="11" t="inlineStr">
        <is>
          <t>Warm Moong Dal Vegetable Khichdi (220g) + Fresh Curd (100g) [380 kcal, 15g P, 56g C, 8g F, ₹35]</t>
        </is>
      </c>
      <c r="P197" s="11" t="inlineStr">
        <is>
          <t>Optional Pre: 1 small banana [70 kcal] • Post: 1 cup warm turmeric milk [90 kcal, 6g P]</t>
        </is>
      </c>
      <c r="Q197" s="12" t="n">
        <v>1455</v>
      </c>
      <c r="R197" s="12" t="n">
        <v>80</v>
      </c>
      <c r="S197" s="12" t="n">
        <v>167</v>
      </c>
      <c r="T197" s="12" t="n">
        <v>45.5</v>
      </c>
      <c r="U197" s="12" t="n">
        <v>213</v>
      </c>
      <c r="V197" s="11" t="inlineStr">
        <is>
          <t>Cook oats in milk for 4 mins on medium flame. Stir in pinch of cinnamon powder. Weigh raw boneless chicken (130g). Steam spinach lightly with mustard tempering.</t>
        </is>
      </c>
    </row>
    <row r="198" ht="36" customHeight="1">
      <c r="A198" s="7" t="inlineStr">
        <is>
          <t>2027-05-08</t>
        </is>
      </c>
      <c r="B198" s="7" t="n">
        <v>197</v>
      </c>
      <c r="C198" s="7" t="inlineStr">
        <is>
          <t>Saturday</t>
        </is>
      </c>
      <c r="D198" s="8" t="inlineStr">
        <is>
          <t>Calcium-Rich Ragi Dosa &amp; Fresh Country Egg Feast</t>
        </is>
      </c>
      <c r="E198" s="8" t="inlineStr">
        <is>
          <t>Ragi Dosa (2 medium, 120g) + Coconut Mint Chutney (30g) + 2 Boiled Eggs [350 kcal, 19g P, 40g C, 13g F, ₹35]</t>
        </is>
      </c>
      <c r="F198" s="8" t="inlineStr">
        <is>
          <t>Steamed Idlis (3 pcs, 110g) + Vegetable Sambar (150ml) + 1 Boiled Egg [310 kcal, 13g P, 44g C, 8g F, ₹25]</t>
        </is>
      </c>
      <c r="G198" s="8" t="inlineStr">
        <is>
          <t>Vegetable Upma (180g) + Warm Toned Milk (150ml) [320 kcal, 11g P, 48g C, 9g F, ₹22]</t>
        </is>
      </c>
      <c r="H198" s="8" t="inlineStr">
        <is>
          <t>Fresh Seasonal Fruit (1 Medium Apple or 150g Papaya) + 6 Almonds [115 kcal, 3g P, 22g C, 3.5g F, ₹30] | Alt: Tender Coconut Water (220ml) [45 kcal, 1g P, 10g C, 0g F, ₹35]</t>
        </is>
      </c>
      <c r="I198" s="8" t="inlineStr">
        <is>
          <t>2 Soft Phulkas (80g) + Homestyle Egg Curry (2 eggs) + Cabbage &amp; Carrot Poriyal (140g) + Rasam [445 kcal, 22g P, 48g C, 16g F, ₹42]</t>
        </is>
      </c>
      <c r="J198" s="8" t="inlineStr">
        <is>
          <t>Sona Masoori Rice (150g) + Bengaluru Chicken Curry (95g meat) + Beans Palya (120g) [475 kcal, 34g P, 48g C, 14g F, ₹75]</t>
        </is>
      </c>
      <c r="K198" s="8" t="inlineStr">
        <is>
          <t>Rice (150g) + Thick Toor Dal Tadka (180g) + Fresh Curd (100g) + Tomato Cucumber Salad [440 kcal, 18g P, 56g C, 14g F, ₹40]</t>
        </is>
      </c>
      <c r="L198" s="8" t="inlineStr">
        <is>
          <t>Spiced Boiled Sundal / Chickpeas (80g) with lime [140 kcal, 7g P, 22g C, 3g F, ₹20] | Alt: Roasted Makhana (30g) in 1/2 tsp ghee &amp; rock salt [130 kcal, 3g P, 21g C, 3.5g F, ₹25]</t>
        </is>
      </c>
      <c r="M198" s="8" t="inlineStr">
        <is>
          <t>2 Soft Phulkas (75g) + Home Chicken Curry (100g meat) + Cucumber Salad (100g) [420 kcal, 31g P, 42g C, 12g F, ₹65]</t>
        </is>
      </c>
      <c r="N198" s="8" t="inlineStr">
        <is>
          <t>2 Phulkas (75g) + Fresh Paneer Bhurji (90g paneer, capsicum, onion) + Clear Soup [440 kcal, 20g P, 42g C, 20g F, ₹55]</t>
        </is>
      </c>
      <c r="O198" s="8" t="inlineStr">
        <is>
          <t>Rice-Moong Dal Khichdi (220g) + Curd (100g) + Lauki Sabzi (120g) [385 kcal, 14g P, 58g C, 8.5g F, ₹35]</t>
        </is>
      </c>
      <c r="P198" s="8" t="inlineStr">
        <is>
          <t>Optional Pre: 1 cup tender coconut water [45 kcal] • Post: 1 glass warm milk (150ml) [85 kcal, 5g P]</t>
        </is>
      </c>
      <c r="Q198" s="9" t="n">
        <v>1470</v>
      </c>
      <c r="R198" s="9" t="n">
        <v>82</v>
      </c>
      <c r="S198" s="9" t="n">
        <v>174</v>
      </c>
      <c r="T198" s="9" t="n">
        <v>47.5</v>
      </c>
      <c r="U198" s="9" t="n">
        <v>192</v>
      </c>
      <c r="V198" s="8" t="inlineStr">
        <is>
          <t>Mix ragi flour with equal water, pinch of salt, cumin seeds &amp; chopped onion. Pour on medium hot tawa. Cook vegetables in minimum oil with mustard seeds, curry leaves &amp; grated fresh coconut.</t>
        </is>
      </c>
    </row>
    <row r="199" ht="36" customHeight="1">
      <c r="A199" s="10" t="inlineStr">
        <is>
          <t>2027-05-09</t>
        </is>
      </c>
      <c r="B199" s="10" t="n">
        <v>198</v>
      </c>
      <c r="C199" s="10" t="inlineStr">
        <is>
          <t>Sunday</t>
        </is>
      </c>
      <c r="D199" s="11" t="inlineStr">
        <is>
          <t>High-Fiber Soya Chunks &amp; Comfort Idli Sambar</t>
        </is>
      </c>
      <c r="E199" s="11" t="inlineStr">
        <is>
          <t>Steamed Idlis (3 pcs, 110g) + Vegetable Sambar (150ml) + 2 Boiled Eggs [340 kcal, 19g P, 38g C, 12g F, ₹35]</t>
        </is>
      </c>
      <c r="F199" s="11" t="inlineStr">
        <is>
          <t>Vegetable Poha (160g cooked) + 1 Boiled Egg [310 kcal, 12g P, 44g C, 9g F, ₹26]</t>
        </is>
      </c>
      <c r="G199" s="11" t="inlineStr">
        <is>
          <t>Rolled Oats cooked in toned milk (40g + 180ml milk) with 1/2 apple [290 kcal, 12g P, 45g C, 6g F, ₹30]</t>
        </is>
      </c>
      <c r="H199" s="11" t="inlineStr">
        <is>
          <t>Spiced Buttermilk / Majjige (220ml) with curry leaves &amp; ginger [45 kcal, 3g P, 4g C, 1.5g F, ₹15] | Alt: Fresh Papaya slices (150g) + 5 almonds [110 kcal, 3g P, 22g C, 3g F, ₹28]</t>
        </is>
      </c>
      <c r="I199" s="11" t="inlineStr">
        <is>
          <t>Sona Masoori Rice (150g cooked) + Soya Chunks Curry (45g dry soya chunks cooked in onion-tomato gravy) + French Beans Palya (130g) + Rasam [460 kcal, 31g P, 56g C, 9g F, ₹42]</t>
        </is>
      </c>
      <c r="J199" s="11" t="inlineStr">
        <is>
          <t>2 Phulkas (80g) + Chicken Curry (95g meat) + Cabbage Poriyal (120g) [440 kcal, 31g P, 44g C, 13g F, ₹65]</t>
        </is>
      </c>
      <c r="K199" s="11" t="inlineStr">
        <is>
          <t>Rice (150g) + Thick Toor Dal (180g) + 2 Boiled Eggs + Ridge Gourd Palya (120g) [455 kcal, 24g P, 52g C, 14g F, ₹40]</t>
        </is>
      </c>
      <c r="L199" s="11" t="inlineStr">
        <is>
          <t>Roasted Kadale / Chana (30g) + Hot Elaichi Tea (100ml milk) [140 kcal, 6g P, 20g C, 3.5g F, ₹18] | Alt: Roasted Makhana (30g) in ghee &amp; rock salt [130 kcal, 3g P, 21g C, 3.5g F, ₹25]</t>
        </is>
      </c>
      <c r="M199" s="11" t="inlineStr">
        <is>
          <t>2 Soft Phulkas (75g) + 2 Boiled Eggs in Mild Curry + Cucumber Carrot Salad (120g) [415 kcal, 21g P, 42g C, 15g F, ₹38]</t>
        </is>
      </c>
      <c r="N199" s="11" t="inlineStr">
        <is>
          <t>2 Phulkas (75g) + Paneer Bhurji (90g paneer, capsicum, tomato) + Warm Soup [445 kcal, 20g P, 44g C, 19g F, ₹58]</t>
        </is>
      </c>
      <c r="O199" s="11" t="inlineStr">
        <is>
          <t>2 Ragi Rotis (120g) + Chicken Curry (90g meat) + Cucumber Slices [425 kcal, 30g P, 46g C, 11g F, ₹68]</t>
        </is>
      </c>
      <c r="P199" s="11" t="inlineStr">
        <is>
          <t>Optional Pre: 1 small banana [70 kcal] • Post: 1 glass warm milk [90 kcal, 6g P]</t>
        </is>
      </c>
      <c r="Q199" s="12" t="n">
        <v>1400</v>
      </c>
      <c r="R199" s="12" t="n">
        <v>80</v>
      </c>
      <c r="S199" s="12" t="n">
        <v>160</v>
      </c>
      <c r="T199" s="12" t="n">
        <v>41</v>
      </c>
      <c r="U199" s="12" t="n">
        <v>151</v>
      </c>
      <c r="V199" s="11" t="inlineStr">
        <is>
          <t>Dip idlis in piping hot sambar. Eggs provide complete amino acid profile. Soak soya chunks in warm water for 15 mins. Squeeze out bitter water completely before cooking.</t>
        </is>
      </c>
    </row>
    <row r="200" ht="36" customHeight="1">
      <c r="A200" s="7" t="inlineStr">
        <is>
          <t>2027-05-10</t>
        </is>
      </c>
      <c r="B200" s="7" t="n">
        <v>199</v>
      </c>
      <c r="C200" s="7" t="inlineStr">
        <is>
          <t>Monday</t>
        </is>
      </c>
      <c r="D200" s="8" t="inlineStr">
        <is>
          <t>Comfort Steamed Staples &amp; Bengaluru Chicken Curry</t>
        </is>
      </c>
      <c r="E200" s="8" t="inlineStr">
        <is>
          <t>Steamed Idlis (3 pcs, 110g) + Veg Sambar (150ml) + 2 Boiled Eggs (100g) [340 kcal, 19g P, 38g C, 12g F, ₹35]</t>
        </is>
      </c>
      <c r="F200" s="8" t="inlineStr">
        <is>
          <t>Steamed Idlis (3 pcs) + Veg Sambar + 1 cup warm sprouted moong salad (100g) [310 kcal, 13g P, 46g C, 5g F, ₹25]</t>
        </is>
      </c>
      <c r="G200" s="8" t="inlineStr">
        <is>
          <t>Ragi Dosa (2 medium, 120g) + Mint Chutney (30g) + 1 Boiled Egg [320 kcal, 14g P, 42g C, 11g F, ₹28]</t>
        </is>
      </c>
      <c r="H200" s="8" t="inlineStr">
        <is>
          <t>Tender Coconut Water (220ml) + Handful Roasted Chana (25g) [130 kcal, 5g P, 22g C, 2g F, ₹40] | Alt: Fresh Papaya slices (150g) + 5 soaked almonds [110 kcal, 3g P, 22g C, 3g F, ₹30]</t>
        </is>
      </c>
      <c r="I200" s="8" t="inlineStr">
        <is>
          <t>Sona Masoori Rice (150g cooked / 55g raw) + Bengaluru Chicken Curry (130g raw / 95g cooked meat) + French Beans Palya (130g) + Pepper Rasam [475 kcal, 34g P, 48g C, 14g F, ₹75]</t>
        </is>
      </c>
      <c r="J200" s="8" t="inlineStr">
        <is>
          <t>2 Soft Wheat Phulkas (80g) + Homestyle Egg Curry (2 eggs in onion-tomato gravy) + Cabbage Poriyal (140g) [440 kcal, 21g P, 48g C, 16g F, ₹40]</t>
        </is>
      </c>
      <c r="K200" s="8" t="inlineStr">
        <is>
          <t>Sona Masoori Rice (150g) + Thick Toor Dal Tadka (180g) + Paneer Palya (80g paneer) + Fresh Curd (100g) [480 kcal, 23g P, 54g C, 18g F, ₹55]</t>
        </is>
      </c>
      <c r="L200" s="8" t="inlineStr">
        <is>
          <t>Spiced Boiled Sundal / Chickpeas (80g) with mustard tempering &amp; lemon [140 kcal, 7g P, 22g C, 3g F, ₹20] | Alt: Roasted Makhana (30g) in 1/2 tsp ghee &amp; rock salt [130 kcal, 3g P, 21g C, 3.5g F, ₹25]</t>
        </is>
      </c>
      <c r="M200" s="8" t="inlineStr">
        <is>
          <t>2 Soft Whole Wheat Phulkas (75g) + Grilled/Pan Chicken Curry (100g meat) + Cucumber Tomato Salad (120g) [420 kcal, 31g P, 42g C, 12g F, ₹65]</t>
        </is>
      </c>
      <c r="N200" s="8" t="inlineStr">
        <is>
          <t>2 Phulkas (75g) + Fresh Paneer Bhurji (90g paneer with capsicum &amp; onion) + Tomato Clear Soup [440 kcal, 20g P, 42g C, 20g F, ₹55]</t>
        </is>
      </c>
      <c r="O200" s="8" t="inlineStr">
        <is>
          <t>Warm Rice-Moong Dal Khichdi (220g) + Fresh Curd (100g) + Steamed Beetroot Poriyal (100g) [380 kcal, 14g P, 58g C, 8g F, ₹35]</t>
        </is>
      </c>
      <c r="P200" s="8" t="inlineStr">
        <is>
          <t>Optional Pre: 1 small banana (80g) [70 kcal] • Post: 1 glass warm toned milk with turmeric (180ml) [95 kcal, 6g P]</t>
        </is>
      </c>
      <c r="Q200" s="9" t="n">
        <v>1505</v>
      </c>
      <c r="R200" s="9" t="n">
        <v>96</v>
      </c>
      <c r="S200" s="9" t="n">
        <v>172</v>
      </c>
      <c r="T200" s="9" t="n">
        <v>43</v>
      </c>
      <c r="U200" s="9" t="n">
        <v>235</v>
      </c>
      <c r="V200" s="8" t="inlineStr">
        <is>
          <t>Steam idlis in idli cooker for 10-12 mins. Weigh 110g cooked on kitchen scale. Zero plate on scale, measure 150g warm rice, then add 95g cooked chicken meat without bones.</t>
        </is>
      </c>
    </row>
    <row r="201" ht="36" customHeight="1">
      <c r="A201" s="10" t="inlineStr">
        <is>
          <t>2027-05-11</t>
        </is>
      </c>
      <c r="B201" s="10" t="n">
        <v>200</v>
      </c>
      <c r="C201" s="10" t="inlineStr">
        <is>
          <t>Tuesday</t>
        </is>
      </c>
      <c r="D201" s="11" t="inlineStr">
        <is>
          <t>Iron-Rich Poha, Egg Curry &amp; Golden Turmeric Phulkas</t>
        </is>
      </c>
      <c r="E201" s="11" t="inlineStr">
        <is>
          <t>Vegetable Poha (160g cooked) tempered with mustard &amp; roasted peanuts (15g) + 1 Boiled Egg [330 kcal, 13g P, 44g C, 11g F, ₹28]</t>
        </is>
      </c>
      <c r="F201" s="11" t="inlineStr">
        <is>
          <t>Vegetable Poha (180g) + 1 glass warm toned milk (150ml) [310 kcal, 11g P, 48g C, 8g F, ₹24]</t>
        </is>
      </c>
      <c r="G201" s="11" t="inlineStr">
        <is>
          <t>Rolled Oats cooked in milk (40g oats + 180ml toned milk) with half diced apple [290 kcal, 12g P, 45g C, 6g F, ₹30]</t>
        </is>
      </c>
      <c r="H201" s="11" t="inlineStr">
        <is>
          <t>Spiced Majjige / Buttermilk (220ml) with grated ginger &amp; curry leaves [45 kcal, 3g P, 4g C, 1.5g F, ₹15] | Alt: 1 Crisp Guava or Apple (130g) with pinch of rock salt [75 kcal, 1.5g P, 18g C, 0.5g F, ₹20]</t>
        </is>
      </c>
      <c r="I201" s="11" t="inlineStr">
        <is>
          <t>2 Soft Phulkas (80g) + 2 Boiled Eggs in Onion-Tomato Gravy (120g gravy) + Ridge Gourd (Heerekayi) Palya (140g) [450 kcal, 22g P, 48g C, 17g F, ₹45]</t>
        </is>
      </c>
      <c r="J201" s="11" t="inlineStr">
        <is>
          <t>Sona Masoori Rice (150g) + Fish Curry (120g rohu/pomfret in light coconut gravy) + Beans Poriyal (120g) [460 kcal, 32g P, 46g C, 13g F, ₹80]</t>
        </is>
      </c>
      <c r="K201" s="11" t="inlineStr">
        <is>
          <t>Cooked Rice (150g) + Mixed Vegetable Sambar (180g) + Pan-seared Tofu or Paneer (80g) + Cucumber Slices [465 kcal, 21g P, 52g C, 17g F, ₹55]</t>
        </is>
      </c>
      <c r="L201" s="11" t="inlineStr">
        <is>
          <t>Boiled Sweet Corn (120g) with lemon squeeze &amp; chaat masala [120 kcal, 4g P, 24g C, 1.5g F, ₹20] | Alt: Roasted Kadale / Chana (30g) + Warm Elaichi Green Tea [125 kcal, 6g P, 18g C, 2.5g F, ₹15]</t>
        </is>
      </c>
      <c r="M201" s="11" t="inlineStr">
        <is>
          <t>2 Soft Phulkas (75g) + Fresh Paneer Bhurji (90g paneer, capsicum, tomato) + Warm Tomato Rasam (150ml) [445 kcal, 21g P, 44g C, 19g F, ₹60]</t>
        </is>
      </c>
      <c r="N201" s="11" t="inlineStr">
        <is>
          <t>2 Ragi Rotis (130g) + Chicken Curry (90g cooked meat) + Onion Cucumber Raita (80g) [430 kcal, 30g P, 46g C, 11g F, ₹70]</t>
        </is>
      </c>
      <c r="O201" s="11" t="inlineStr">
        <is>
          <t>Moong Dal Vegetable Dalia Khichdi (220g) + Fresh Curd (100g) [390 kcal, 16g P, 54g C, 9g F, ₹35]</t>
        </is>
      </c>
      <c r="P201" s="11" t="inlineStr">
        <is>
          <t>Optional Pre: 2 Medjool dates [80 kcal] • Post: 1 boiled egg white or 100g warm milk [55 kcal, 4g P]</t>
        </is>
      </c>
      <c r="Q201" s="12" t="n">
        <v>1390</v>
      </c>
      <c r="R201" s="12" t="n">
        <v>63</v>
      </c>
      <c r="S201" s="12" t="n">
        <v>164</v>
      </c>
      <c r="T201" s="12" t="n">
        <v>50</v>
      </c>
      <c r="U201" s="12" t="n">
        <v>168</v>
      </c>
      <c r="V201" s="11" t="inlineStr">
        <is>
          <t>Rinse thick poha in colander, drain well. Sauté with onion, curry leaves, carrots &amp; roasted peanuts. Prick boiled eggs gently before simmering in gravy to absorb rich flavours.</t>
        </is>
      </c>
    </row>
    <row r="202" ht="36" customHeight="1">
      <c r="A202" s="7" t="inlineStr">
        <is>
          <t>2027-05-12</t>
        </is>
      </c>
      <c r="B202" s="7" t="n">
        <v>201</v>
      </c>
      <c r="C202" s="7" t="inlineStr">
        <is>
          <t>Wednesday</t>
        </is>
      </c>
      <c r="D202" s="8" t="inlineStr">
        <is>
          <t>Bengaluru Rava Upma &amp; Fresh Coastal Home Curry</t>
        </is>
      </c>
      <c r="E202" s="8" t="inlineStr">
        <is>
          <t>Bengaluru Vegetable Rava Upma (180g cooked) with roasted peanuts + 1 Boiled Egg [340 kcal, 14g P, 44g C, 12g F, ₹26]</t>
        </is>
      </c>
      <c r="F202" s="8" t="inlineStr">
        <is>
          <t>Vegetable Upma (180g) + 1 glass warm toned milk (150ml) [320 kcal, 11g P, 48g C, 9g F, ₹24]</t>
        </is>
      </c>
      <c r="G202" s="8" t="inlineStr">
        <is>
          <t>Steamed Idlis (3 pcs) with Mint Toor Dal Chutney (40g) + 1 Boiled Egg [320 kcal, 15g P, 42g C, 9g F, ₹28]</t>
        </is>
      </c>
      <c r="H202" s="8" t="inlineStr">
        <is>
          <t>Fresh Fruit Bowl (150g watermelon or papaya) + 6 soaked almonds [110 kcal, 3g P, 22g C, 3g F, ₹30] | Alt: Tender Coconut Water (220ml) [45 kcal, 1g P, 10g C, 0g F, ₹35]</t>
        </is>
      </c>
      <c r="I202" s="8" t="inlineStr">
        <is>
          <t>Sona Masoori Rice (150g cooked) + Bengaluru Fish Curry (120g fresh fish in light gravy) + Cabbage &amp; Pea Poriyal (130g) + Rasam [450 kcal, 33g P, 46g C, 13g F, ₹80]</t>
        </is>
      </c>
      <c r="J202" s="8" t="inlineStr">
        <is>
          <t>2 Phulkas (80g) + Chicken Curry (95g cooked meat) + Cucumber Carrot Salad (100g) [440 kcal, 31g P, 44g C, 13g F, ₹65]</t>
        </is>
      </c>
      <c r="K202" s="8" t="inlineStr">
        <is>
          <t>Rice (150g) + Thick Chana Dal (180g) + Beans Palya (130g) + Fresh Curd (100g) [470 kcal, 22g P, 56g C, 15g F, ₹45]</t>
        </is>
      </c>
      <c r="L202" s="8" t="inlineStr">
        <is>
          <t>Roasted Puri Kadale / Chana (30g) + Warm Ginger Tea (100ml low-fat milk) [140 kcal, 6g P, 20g C, 3.5g F, ₹18] | Alt: Spiced Boiled Moong Sprouts (80g) with lime &amp; salt [110 kcal, 7g P, 18g C, 1g F, ₹15]</t>
        </is>
      </c>
      <c r="M202" s="8" t="inlineStr">
        <is>
          <t>2 Soft Phulkas (75g) + Soya Chunks &amp; Green Pea Curry (45g dry soya + 50g peas) + Fresh Curd (80g) [420 kcal, 29g P, 48g C, 9g F, ₹40]</t>
        </is>
      </c>
      <c r="N202" s="8" t="inlineStr">
        <is>
          <t>2 Phulkas (75g) + 2 Boiled Eggs in Homestyle Curry (100g) + Sliced Cucumber [410 kcal, 21g P, 42g C, 15g F, ₹38]</t>
        </is>
      </c>
      <c r="O202" s="8" t="inlineStr">
        <is>
          <t>2 Ragi Rotis (120g) + Mixed Vegetable Sambar (180ml) + Sautéed Palak (100g) [380 kcal, 14g P, 54g C, 8g F, ₹30]</t>
        </is>
      </c>
      <c r="P202" s="8" t="inlineStr">
        <is>
          <t>Optional Pre: 1 cup tender coconut water [45 kcal] • Post: 1 glass warm milk (150ml) [85 kcal, 5g P]</t>
        </is>
      </c>
      <c r="Q202" s="9" t="n">
        <v>1460</v>
      </c>
      <c r="R202" s="9" t="n">
        <v>85</v>
      </c>
      <c r="S202" s="9" t="n">
        <v>180</v>
      </c>
      <c r="T202" s="9" t="n">
        <v>40.5</v>
      </c>
      <c r="U202" s="9" t="n">
        <v>194</v>
      </c>
      <c r="V202" s="8" t="inlineStr">
        <is>
          <t>Dry roast semolina lightly. Tempered with mustard seeds, chana dal, green chillies &amp; mixed veggies. Use fresh local fish cuts (rohu, pomfret, or seer fish). Simmer gently for 8 mins.</t>
        </is>
      </c>
    </row>
    <row r="203" ht="36" customHeight="1">
      <c r="A203" s="10" t="inlineStr">
        <is>
          <t>2027-05-13</t>
        </is>
      </c>
      <c r="B203" s="10" t="n">
        <v>202</v>
      </c>
      <c r="C203" s="10" t="inlineStr">
        <is>
          <t>Thursday</t>
        </is>
      </c>
      <c r="D203" s="11" t="inlineStr">
        <is>
          <t>Nourishing Rolled Oats &amp; Tender Chicken Palya</t>
        </is>
      </c>
      <c r="E203" s="11" t="inlineStr">
        <is>
          <t>Warm Rolled Oats (40g dry + 180ml toned milk) + 1 Boiled Egg + Apple slices (50g) [345 kcal, 18g P, 46g C, 10g F, ₹35]</t>
        </is>
      </c>
      <c r="F203" s="11" t="inlineStr">
        <is>
          <t>Vegetable Poha (160g cooked) + 2 Boiled Eggs [360 kcal, 18g P, 42g C, 14g F, ₹32]</t>
        </is>
      </c>
      <c r="G203" s="11" t="inlineStr">
        <is>
          <t>2 Plain Dosas (120g) + Toor Dal Sambar (150ml) + 1 cup warm sprouted moong [330 kcal, 14g P, 48g C, 7g F, ₹25]</t>
        </is>
      </c>
      <c r="H203" s="11" t="inlineStr">
        <is>
          <t>Tender Coconut Water (220ml) + 5 Soaked Almonds [95 kcal, 3g P, 12g C, 4g F, ₹40] | Alt: Fresh Spiced Buttermilk (220ml) with coriander &amp; rock salt [45 kcal, 3g P, 4g C, 1.5g F, ₹15]</t>
        </is>
      </c>
      <c r="I203" s="11" t="inlineStr">
        <is>
          <t>Sona Masoori Rice (150g cooked) + Tender Chicken Curry (130g raw / 95g meat) + Palak (Spinach) Palya (140g) + Rasam [470 kcal, 35g P, 46g C, 13g F, ₹75]</t>
        </is>
      </c>
      <c r="J203" s="11" t="inlineStr">
        <is>
          <t>2 Soft Phulkas (80g) + Fresh Paneer Curry (85g paneer in light gravy) + French Beans Palya (120g) [450 kcal, 21g P, 44g C, 19g F, ₹55]</t>
        </is>
      </c>
      <c r="K203" s="11" t="inlineStr">
        <is>
          <t>Rice (150g) + Toor Dal Tadka (180g) + 2 Boiled Eggs + Beetroot Poriyal (120g) [460 kcal, 25g P, 52g C, 14g F, ₹42]</t>
        </is>
      </c>
      <c r="L203" s="11" t="inlineStr">
        <is>
          <t>Roasted Makhana (30g) + Hot Green Tea with lemon [130 kcal, 3g P, 21g C, 3.5g F, ₹25] | Alt: Boiled Chickpeas Sundal (70g) with mustard &amp; curry leaves [125 kcal, 6g P, 20g C, 2.5g F, ₹18]</t>
        </is>
      </c>
      <c r="M203" s="11" t="inlineStr">
        <is>
          <t>2 Soft Phulkas (75g) + 2 Boiled Eggs in Tomato Onion Curry + Cucumber Salad (100g) [415 kcal, 21g P, 42g C, 15g F, ₹38]</t>
        </is>
      </c>
      <c r="N203" s="11" t="inlineStr">
        <is>
          <t>2 Phulkas (75g) + Grilled Chicken Strips (100g cooked) + Mixed Sautéed Capsicum &amp; Onions [425 kcal, 32g P, 40g C, 11g F, ₹65]</t>
        </is>
      </c>
      <c r="O203" s="11" t="inlineStr">
        <is>
          <t>Warm Moong Dal Vegetable Khichdi (220g) + Fresh Curd (100g) [380 kcal, 15g P, 56g C, 8g F, ₹35]</t>
        </is>
      </c>
      <c r="P203" s="11" t="inlineStr">
        <is>
          <t>Optional Pre: 1 small banana [70 kcal] • Post: 1 cup warm turmeric milk [90 kcal, 6g P]</t>
        </is>
      </c>
      <c r="Q203" s="12" t="n">
        <v>1455</v>
      </c>
      <c r="R203" s="12" t="n">
        <v>80</v>
      </c>
      <c r="S203" s="12" t="n">
        <v>167</v>
      </c>
      <c r="T203" s="12" t="n">
        <v>45.5</v>
      </c>
      <c r="U203" s="12" t="n">
        <v>213</v>
      </c>
      <c r="V203" s="11" t="inlineStr">
        <is>
          <t>Cook oats in milk for 4 mins on medium flame. Stir in pinch of cinnamon powder. Weigh raw boneless chicken (130g). Steam spinach lightly with mustard tempering.</t>
        </is>
      </c>
    </row>
    <row r="204" ht="36" customHeight="1">
      <c r="A204" s="7" t="inlineStr">
        <is>
          <t>2027-05-14</t>
        </is>
      </c>
      <c r="B204" s="7" t="n">
        <v>203</v>
      </c>
      <c r="C204" s="7" t="inlineStr">
        <is>
          <t>Friday</t>
        </is>
      </c>
      <c r="D204" s="8" t="inlineStr">
        <is>
          <t>Calcium-Rich Ragi Dosa &amp; Fresh Country Egg Feast</t>
        </is>
      </c>
      <c r="E204" s="8" t="inlineStr">
        <is>
          <t>Ragi Dosa (2 medium, 120g) + Coconut Mint Chutney (30g) + 2 Boiled Eggs [350 kcal, 19g P, 40g C, 13g F, ₹35]</t>
        </is>
      </c>
      <c r="F204" s="8" t="inlineStr">
        <is>
          <t>Steamed Idlis (3 pcs, 110g) + Vegetable Sambar (150ml) + 1 Boiled Egg [310 kcal, 13g P, 44g C, 8g F, ₹25]</t>
        </is>
      </c>
      <c r="G204" s="8" t="inlineStr">
        <is>
          <t>Vegetable Upma (180g) + Warm Toned Milk (150ml) [320 kcal, 11g P, 48g C, 9g F, ₹22]</t>
        </is>
      </c>
      <c r="H204" s="8" t="inlineStr">
        <is>
          <t>Fresh Seasonal Fruit (1 Medium Apple or 150g Papaya) + 6 Almonds [115 kcal, 3g P, 22g C, 3.5g F, ₹30] | Alt: Tender Coconut Water (220ml) [45 kcal, 1g P, 10g C, 0g F, ₹35]</t>
        </is>
      </c>
      <c r="I204" s="8" t="inlineStr">
        <is>
          <t>2 Soft Phulkas (80g) + Homestyle Egg Curry (2 eggs) + Cabbage &amp; Carrot Poriyal (140g) + Rasam [445 kcal, 22g P, 48g C, 16g F, ₹42]</t>
        </is>
      </c>
      <c r="J204" s="8" t="inlineStr">
        <is>
          <t>Sona Masoori Rice (150g) + Bengaluru Chicken Curry (95g meat) + Beans Palya (120g) [475 kcal, 34g P, 48g C, 14g F, ₹75]</t>
        </is>
      </c>
      <c r="K204" s="8" t="inlineStr">
        <is>
          <t>Rice (150g) + Thick Toor Dal Tadka (180g) + Fresh Curd (100g) + Tomato Cucumber Salad [440 kcal, 18g P, 56g C, 14g F, ₹40]</t>
        </is>
      </c>
      <c r="L204" s="8" t="inlineStr">
        <is>
          <t>Spiced Boiled Sundal / Chickpeas (80g) with lime [140 kcal, 7g P, 22g C, 3g F, ₹20] | Alt: Roasted Makhana (30g) in 1/2 tsp ghee &amp; rock salt [130 kcal, 3g P, 21g C, 3.5g F, ₹25]</t>
        </is>
      </c>
      <c r="M204" s="8" t="inlineStr">
        <is>
          <t>2 Soft Phulkas (75g) + Home Chicken Curry (100g meat) + Cucumber Salad (100g) [420 kcal, 31g P, 42g C, 12g F, ₹65]</t>
        </is>
      </c>
      <c r="N204" s="8" t="inlineStr">
        <is>
          <t>2 Phulkas (75g) + Fresh Paneer Bhurji (90g paneer, capsicum, onion) + Clear Soup [440 kcal, 20g P, 42g C, 20g F, ₹55]</t>
        </is>
      </c>
      <c r="O204" s="8" t="inlineStr">
        <is>
          <t>Rice-Moong Dal Khichdi (220g) + Curd (100g) + Lauki Sabzi (120g) [385 kcal, 14g P, 58g C, 8.5g F, ₹35]</t>
        </is>
      </c>
      <c r="P204" s="8" t="inlineStr">
        <is>
          <t>Optional Pre: 1 cup tender coconut water [45 kcal] • Post: 1 glass warm milk (150ml) [85 kcal, 5g P]</t>
        </is>
      </c>
      <c r="Q204" s="9" t="n">
        <v>1470</v>
      </c>
      <c r="R204" s="9" t="n">
        <v>82</v>
      </c>
      <c r="S204" s="9" t="n">
        <v>174</v>
      </c>
      <c r="T204" s="9" t="n">
        <v>47.5</v>
      </c>
      <c r="U204" s="9" t="n">
        <v>192</v>
      </c>
      <c r="V204" s="8" t="inlineStr">
        <is>
          <t>Mix ragi flour with equal water, pinch of salt, cumin seeds &amp; chopped onion. Pour on medium hot tawa. Cook vegetables in minimum oil with mustard seeds, curry leaves &amp; grated fresh coconut.</t>
        </is>
      </c>
    </row>
    <row r="205" ht="36" customHeight="1">
      <c r="A205" s="10" t="inlineStr">
        <is>
          <t>2027-05-15</t>
        </is>
      </c>
      <c r="B205" s="10" t="n">
        <v>204</v>
      </c>
      <c r="C205" s="10" t="inlineStr">
        <is>
          <t>Saturday</t>
        </is>
      </c>
      <c r="D205" s="11" t="inlineStr">
        <is>
          <t>High-Fiber Soya Chunks &amp; Comfort Idli Sambar</t>
        </is>
      </c>
      <c r="E205" s="11" t="inlineStr">
        <is>
          <t>Steamed Idlis (3 pcs, 110g) + Vegetable Sambar (150ml) + 2 Boiled Eggs [340 kcal, 19g P, 38g C, 12g F, ₹35]</t>
        </is>
      </c>
      <c r="F205" s="11" t="inlineStr">
        <is>
          <t>Vegetable Poha (160g cooked) + 1 Boiled Egg [310 kcal, 12g P, 44g C, 9g F, ₹26]</t>
        </is>
      </c>
      <c r="G205" s="11" t="inlineStr">
        <is>
          <t>Rolled Oats cooked in toned milk (40g + 180ml milk) with 1/2 apple [290 kcal, 12g P, 45g C, 6g F, ₹30]</t>
        </is>
      </c>
      <c r="H205" s="11" t="inlineStr">
        <is>
          <t>Spiced Buttermilk / Majjige (220ml) with curry leaves &amp; ginger [45 kcal, 3g P, 4g C, 1.5g F, ₹15] | Alt: Fresh Papaya slices (150g) + 5 almonds [110 kcal, 3g P, 22g C, 3g F, ₹28]</t>
        </is>
      </c>
      <c r="I205" s="11" t="inlineStr">
        <is>
          <t>Sona Masoori Rice (150g cooked) + Soya Chunks Curry (45g dry soya chunks cooked in onion-tomato gravy) + French Beans Palya (130g) + Rasam [460 kcal, 31g P, 56g C, 9g F, ₹42]</t>
        </is>
      </c>
      <c r="J205" s="11" t="inlineStr">
        <is>
          <t>2 Phulkas (80g) + Chicken Curry (95g meat) + Cabbage Poriyal (120g) [440 kcal, 31g P, 44g C, 13g F, ₹65]</t>
        </is>
      </c>
      <c r="K205" s="11" t="inlineStr">
        <is>
          <t>Rice (150g) + Thick Toor Dal (180g) + 2 Boiled Eggs + Ridge Gourd Palya (120g) [455 kcal, 24g P, 52g C, 14g F, ₹40]</t>
        </is>
      </c>
      <c r="L205" s="11" t="inlineStr">
        <is>
          <t>Roasted Kadale / Chana (30g) + Hot Elaichi Tea (100ml milk) [140 kcal, 6g P, 20g C, 3.5g F, ₹18] | Alt: Roasted Makhana (30g) in ghee &amp; rock salt [130 kcal, 3g P, 21g C, 3.5g F, ₹25]</t>
        </is>
      </c>
      <c r="M205" s="11" t="inlineStr">
        <is>
          <t>2 Soft Phulkas (75g) + 2 Boiled Eggs in Mild Curry + Cucumber Carrot Salad (120g) [415 kcal, 21g P, 42g C, 15g F, ₹38]</t>
        </is>
      </c>
      <c r="N205" s="11" t="inlineStr">
        <is>
          <t>2 Phulkas (75g) + Paneer Bhurji (90g paneer, capsicum, tomato) + Warm Soup [445 kcal, 20g P, 44g C, 19g F, ₹58]</t>
        </is>
      </c>
      <c r="O205" s="11" t="inlineStr">
        <is>
          <t>2 Ragi Rotis (120g) + Chicken Curry (90g meat) + Cucumber Slices [425 kcal, 30g P, 46g C, 11g F, ₹68]</t>
        </is>
      </c>
      <c r="P205" s="11" t="inlineStr">
        <is>
          <t>Optional Pre: 1 small banana [70 kcal] • Post: 1 glass warm milk [90 kcal, 6g P]</t>
        </is>
      </c>
      <c r="Q205" s="12" t="n">
        <v>1400</v>
      </c>
      <c r="R205" s="12" t="n">
        <v>80</v>
      </c>
      <c r="S205" s="12" t="n">
        <v>160</v>
      </c>
      <c r="T205" s="12" t="n">
        <v>41</v>
      </c>
      <c r="U205" s="12" t="n">
        <v>151</v>
      </c>
      <c r="V205" s="11" t="inlineStr">
        <is>
          <t>Dip idlis in piping hot sambar. Eggs provide complete amino acid profile. Soak soya chunks in warm water for 15 mins. Squeeze out bitter water completely before cooking.</t>
        </is>
      </c>
    </row>
    <row r="206" ht="36" customHeight="1">
      <c r="A206" s="7" t="inlineStr">
        <is>
          <t>2027-05-16</t>
        </is>
      </c>
      <c r="B206" s="7" t="n">
        <v>205</v>
      </c>
      <c r="C206" s="7" t="inlineStr">
        <is>
          <t>Sunday</t>
        </is>
      </c>
      <c r="D206" s="8" t="inlineStr">
        <is>
          <t>Comfort Steamed Staples &amp; Bengaluru Chicken Curry</t>
        </is>
      </c>
      <c r="E206" s="8" t="inlineStr">
        <is>
          <t>Steamed Idlis (3 pcs, 110g) + Veg Sambar (150ml) + 2 Boiled Eggs (100g) [340 kcal, 19g P, 38g C, 12g F, ₹35]</t>
        </is>
      </c>
      <c r="F206" s="8" t="inlineStr">
        <is>
          <t>Steamed Idlis (3 pcs) + Veg Sambar + 1 cup warm sprouted moong salad (100g) [310 kcal, 13g P, 46g C, 5g F, ₹25]</t>
        </is>
      </c>
      <c r="G206" s="8" t="inlineStr">
        <is>
          <t>Ragi Dosa (2 medium, 120g) + Mint Chutney (30g) + 1 Boiled Egg [320 kcal, 14g P, 42g C, 11g F, ₹28]</t>
        </is>
      </c>
      <c r="H206" s="8" t="inlineStr">
        <is>
          <t>Tender Coconut Water (220ml) + Handful Roasted Chana (25g) [130 kcal, 5g P, 22g C, 2g F, ₹40] | Alt: Fresh Papaya slices (150g) + 5 soaked almonds [110 kcal, 3g P, 22g C, 3g F, ₹30]</t>
        </is>
      </c>
      <c r="I206" s="8" t="inlineStr">
        <is>
          <t>Sona Masoori Rice (150g cooked / 55g raw) + Bengaluru Chicken Curry (130g raw / 95g cooked meat) + French Beans Palya (130g) + Pepper Rasam [475 kcal, 34g P, 48g C, 14g F, ₹75]</t>
        </is>
      </c>
      <c r="J206" s="8" t="inlineStr">
        <is>
          <t>2 Soft Wheat Phulkas (80g) + Homestyle Egg Curry (2 eggs in onion-tomato gravy) + Cabbage Poriyal (140g) [440 kcal, 21g P, 48g C, 16g F, ₹40]</t>
        </is>
      </c>
      <c r="K206" s="8" t="inlineStr">
        <is>
          <t>Sona Masoori Rice (150g) + Thick Toor Dal Tadka (180g) + Paneer Palya (80g paneer) + Fresh Curd (100g) [480 kcal, 23g P, 54g C, 18g F, ₹55]</t>
        </is>
      </c>
      <c r="L206" s="8" t="inlineStr">
        <is>
          <t>Spiced Boiled Sundal / Chickpeas (80g) with mustard tempering &amp; lemon [140 kcal, 7g P, 22g C, 3g F, ₹20] | Alt: Roasted Makhana (30g) in 1/2 tsp ghee &amp; rock salt [130 kcal, 3g P, 21g C, 3.5g F, ₹25]</t>
        </is>
      </c>
      <c r="M206" s="8" t="inlineStr">
        <is>
          <t>2 Soft Whole Wheat Phulkas (75g) + Grilled/Pan Chicken Curry (100g meat) + Cucumber Tomato Salad (120g) [420 kcal, 31g P, 42g C, 12g F, ₹65]</t>
        </is>
      </c>
      <c r="N206" s="8" t="inlineStr">
        <is>
          <t>2 Phulkas (75g) + Fresh Paneer Bhurji (90g paneer with capsicum &amp; onion) + Tomato Clear Soup [440 kcal, 20g P, 42g C, 20g F, ₹55]</t>
        </is>
      </c>
      <c r="O206" s="8" t="inlineStr">
        <is>
          <t>Warm Rice-Moong Dal Khichdi (220g) + Fresh Curd (100g) + Steamed Beetroot Poriyal (100g) [380 kcal, 14g P, 58g C, 8g F, ₹35]</t>
        </is>
      </c>
      <c r="P206" s="8" t="inlineStr">
        <is>
          <t>Optional Pre: 1 small banana (80g) [70 kcal] • Post: 1 glass warm toned milk with turmeric (180ml) [95 kcal, 6g P]</t>
        </is>
      </c>
      <c r="Q206" s="9" t="n">
        <v>1505</v>
      </c>
      <c r="R206" s="9" t="n">
        <v>96</v>
      </c>
      <c r="S206" s="9" t="n">
        <v>172</v>
      </c>
      <c r="T206" s="9" t="n">
        <v>43</v>
      </c>
      <c r="U206" s="9" t="n">
        <v>235</v>
      </c>
      <c r="V206" s="8" t="inlineStr">
        <is>
          <t>Steam idlis in idli cooker for 10-12 mins. Weigh 110g cooked on kitchen scale. Zero plate on scale, measure 150g warm rice, then add 95g cooked chicken meat without bones.</t>
        </is>
      </c>
    </row>
    <row r="207" ht="36" customHeight="1">
      <c r="A207" s="10" t="inlineStr">
        <is>
          <t>2027-05-17</t>
        </is>
      </c>
      <c r="B207" s="10" t="n">
        <v>206</v>
      </c>
      <c r="C207" s="10" t="inlineStr">
        <is>
          <t>Monday</t>
        </is>
      </c>
      <c r="D207" s="11" t="inlineStr">
        <is>
          <t>Iron-Rich Poha, Egg Curry &amp; Golden Turmeric Phulkas</t>
        </is>
      </c>
      <c r="E207" s="11" t="inlineStr">
        <is>
          <t>Vegetable Poha (160g cooked) tempered with mustard &amp; roasted peanuts (15g) + 1 Boiled Egg [330 kcal, 13g P, 44g C, 11g F, ₹28]</t>
        </is>
      </c>
      <c r="F207" s="11" t="inlineStr">
        <is>
          <t>Vegetable Poha (180g) + 1 glass warm toned milk (150ml) [310 kcal, 11g P, 48g C, 8g F, ₹24]</t>
        </is>
      </c>
      <c r="G207" s="11" t="inlineStr">
        <is>
          <t>Rolled Oats cooked in milk (40g oats + 180ml toned milk) with half diced apple [290 kcal, 12g P, 45g C, 6g F, ₹30]</t>
        </is>
      </c>
      <c r="H207" s="11" t="inlineStr">
        <is>
          <t>Spiced Majjige / Buttermilk (220ml) with grated ginger &amp; curry leaves [45 kcal, 3g P, 4g C, 1.5g F, ₹15] | Alt: 1 Crisp Guava or Apple (130g) with pinch of rock salt [75 kcal, 1.5g P, 18g C, 0.5g F, ₹20]</t>
        </is>
      </c>
      <c r="I207" s="11" t="inlineStr">
        <is>
          <t>2 Soft Phulkas (80g) + 2 Boiled Eggs in Onion-Tomato Gravy (120g gravy) + Ridge Gourd (Heerekayi) Palya (140g) [450 kcal, 22g P, 48g C, 17g F, ₹45]</t>
        </is>
      </c>
      <c r="J207" s="11" t="inlineStr">
        <is>
          <t>Sona Masoori Rice (150g) + Fish Curry (120g rohu/pomfret in light coconut gravy) + Beans Poriyal (120g) [460 kcal, 32g P, 46g C, 13g F, ₹80]</t>
        </is>
      </c>
      <c r="K207" s="11" t="inlineStr">
        <is>
          <t>Cooked Rice (150g) + Mixed Vegetable Sambar (180g) + Pan-seared Tofu or Paneer (80g) + Cucumber Slices [465 kcal, 21g P, 52g C, 17g F, ₹55]</t>
        </is>
      </c>
      <c r="L207" s="11" t="inlineStr">
        <is>
          <t>Boiled Sweet Corn (120g) with lemon squeeze &amp; chaat masala [120 kcal, 4g P, 24g C, 1.5g F, ₹20] | Alt: Roasted Kadale / Chana (30g) + Warm Elaichi Green Tea [125 kcal, 6g P, 18g C, 2.5g F, ₹15]</t>
        </is>
      </c>
      <c r="M207" s="11" t="inlineStr">
        <is>
          <t>2 Soft Phulkas (75g) + Fresh Paneer Bhurji (90g paneer, capsicum, tomato) + Warm Tomato Rasam (150ml) [445 kcal, 21g P, 44g C, 19g F, ₹60]</t>
        </is>
      </c>
      <c r="N207" s="11" t="inlineStr">
        <is>
          <t>2 Ragi Rotis (130g) + Chicken Curry (90g cooked meat) + Onion Cucumber Raita (80g) [430 kcal, 30g P, 46g C, 11g F, ₹70]</t>
        </is>
      </c>
      <c r="O207" s="11" t="inlineStr">
        <is>
          <t>Moong Dal Vegetable Dalia Khichdi (220g) + Fresh Curd (100g) [390 kcal, 16g P, 54g C, 9g F, ₹35]</t>
        </is>
      </c>
      <c r="P207" s="11" t="inlineStr">
        <is>
          <t>Optional Pre: 2 Medjool dates [80 kcal] • Post: 1 boiled egg white or 100g warm milk [55 kcal, 4g P]</t>
        </is>
      </c>
      <c r="Q207" s="12" t="n">
        <v>1390</v>
      </c>
      <c r="R207" s="12" t="n">
        <v>63</v>
      </c>
      <c r="S207" s="12" t="n">
        <v>164</v>
      </c>
      <c r="T207" s="12" t="n">
        <v>50</v>
      </c>
      <c r="U207" s="12" t="n">
        <v>168</v>
      </c>
      <c r="V207" s="11" t="inlineStr">
        <is>
          <t>Rinse thick poha in colander, drain well. Sauté with onion, curry leaves, carrots &amp; roasted peanuts. Prick boiled eggs gently before simmering in gravy to absorb rich flavours.</t>
        </is>
      </c>
    </row>
    <row r="208" ht="36" customHeight="1">
      <c r="A208" s="7" t="inlineStr">
        <is>
          <t>2027-05-18</t>
        </is>
      </c>
      <c r="B208" s="7" t="n">
        <v>207</v>
      </c>
      <c r="C208" s="7" t="inlineStr">
        <is>
          <t>Tuesday</t>
        </is>
      </c>
      <c r="D208" s="8" t="inlineStr">
        <is>
          <t>Bengaluru Rava Upma &amp; Fresh Coastal Home Curry</t>
        </is>
      </c>
      <c r="E208" s="8" t="inlineStr">
        <is>
          <t>Bengaluru Vegetable Rava Upma (180g cooked) with roasted peanuts + 1 Boiled Egg [340 kcal, 14g P, 44g C, 12g F, ₹26]</t>
        </is>
      </c>
      <c r="F208" s="8" t="inlineStr">
        <is>
          <t>Vegetable Upma (180g) + 1 glass warm toned milk (150ml) [320 kcal, 11g P, 48g C, 9g F, ₹24]</t>
        </is>
      </c>
      <c r="G208" s="8" t="inlineStr">
        <is>
          <t>Steamed Idlis (3 pcs) with Mint Toor Dal Chutney (40g) + 1 Boiled Egg [320 kcal, 15g P, 42g C, 9g F, ₹28]</t>
        </is>
      </c>
      <c r="H208" s="8" t="inlineStr">
        <is>
          <t>Fresh Fruit Bowl (150g watermelon or papaya) + 6 soaked almonds [110 kcal, 3g P, 22g C, 3g F, ₹30] | Alt: Tender Coconut Water (220ml) [45 kcal, 1g P, 10g C, 0g F, ₹35]</t>
        </is>
      </c>
      <c r="I208" s="8" t="inlineStr">
        <is>
          <t>Sona Masoori Rice (150g cooked) + Bengaluru Fish Curry (120g fresh fish in light gravy) + Cabbage &amp; Pea Poriyal (130g) + Rasam [450 kcal, 33g P, 46g C, 13g F, ₹80]</t>
        </is>
      </c>
      <c r="J208" s="8" t="inlineStr">
        <is>
          <t>2 Phulkas (80g) + Chicken Curry (95g cooked meat) + Cucumber Carrot Salad (100g) [440 kcal, 31g P, 44g C, 13g F, ₹65]</t>
        </is>
      </c>
      <c r="K208" s="8" t="inlineStr">
        <is>
          <t>Rice (150g) + Thick Chana Dal (180g) + Beans Palya (130g) + Fresh Curd (100g) [470 kcal, 22g P, 56g C, 15g F, ₹45]</t>
        </is>
      </c>
      <c r="L208" s="8" t="inlineStr">
        <is>
          <t>Roasted Puri Kadale / Chana (30g) + Warm Ginger Tea (100ml low-fat milk) [140 kcal, 6g P, 20g C, 3.5g F, ₹18] | Alt: Spiced Boiled Moong Sprouts (80g) with lime &amp; salt [110 kcal, 7g P, 18g C, 1g F, ₹15]</t>
        </is>
      </c>
      <c r="M208" s="8" t="inlineStr">
        <is>
          <t>2 Soft Phulkas (75g) + Soya Chunks &amp; Green Pea Curry (45g dry soya + 50g peas) + Fresh Curd (80g) [420 kcal, 29g P, 48g C, 9g F, ₹40]</t>
        </is>
      </c>
      <c r="N208" s="8" t="inlineStr">
        <is>
          <t>2 Phulkas (75g) + 2 Boiled Eggs in Homestyle Curry (100g) + Sliced Cucumber [410 kcal, 21g P, 42g C, 15g F, ₹38]</t>
        </is>
      </c>
      <c r="O208" s="8" t="inlineStr">
        <is>
          <t>2 Ragi Rotis (120g) + Mixed Vegetable Sambar (180ml) + Sautéed Palak (100g) [380 kcal, 14g P, 54g C, 8g F, ₹30]</t>
        </is>
      </c>
      <c r="P208" s="8" t="inlineStr">
        <is>
          <t>Optional Pre: 1 cup tender coconut water [45 kcal] • Post: 1 glass warm milk (150ml) [85 kcal, 5g P]</t>
        </is>
      </c>
      <c r="Q208" s="9" t="n">
        <v>1460</v>
      </c>
      <c r="R208" s="9" t="n">
        <v>85</v>
      </c>
      <c r="S208" s="9" t="n">
        <v>180</v>
      </c>
      <c r="T208" s="9" t="n">
        <v>40.5</v>
      </c>
      <c r="U208" s="9" t="n">
        <v>194</v>
      </c>
      <c r="V208" s="8" t="inlineStr">
        <is>
          <t>Dry roast semolina lightly. Tempered with mustard seeds, chana dal, green chillies &amp; mixed veggies. Use fresh local fish cuts (rohu, pomfret, or seer fish). Simmer gently for 8 mins.</t>
        </is>
      </c>
    </row>
    <row r="209" ht="36" customHeight="1">
      <c r="A209" s="10" t="inlineStr">
        <is>
          <t>2027-05-19</t>
        </is>
      </c>
      <c r="B209" s="10" t="n">
        <v>208</v>
      </c>
      <c r="C209" s="10" t="inlineStr">
        <is>
          <t>Wednesday</t>
        </is>
      </c>
      <c r="D209" s="11" t="inlineStr">
        <is>
          <t>Nourishing Rolled Oats &amp; Tender Chicken Palya</t>
        </is>
      </c>
      <c r="E209" s="11" t="inlineStr">
        <is>
          <t>Warm Rolled Oats (40g dry + 180ml toned milk) + 1 Boiled Egg + Apple slices (50g) [345 kcal, 18g P, 46g C, 10g F, ₹35]</t>
        </is>
      </c>
      <c r="F209" s="11" t="inlineStr">
        <is>
          <t>Vegetable Poha (160g cooked) + 2 Boiled Eggs [360 kcal, 18g P, 42g C, 14g F, ₹32]</t>
        </is>
      </c>
      <c r="G209" s="11" t="inlineStr">
        <is>
          <t>2 Plain Dosas (120g) + Toor Dal Sambar (150ml) + 1 cup warm sprouted moong [330 kcal, 14g P, 48g C, 7g F, ₹25]</t>
        </is>
      </c>
      <c r="H209" s="11" t="inlineStr">
        <is>
          <t>Tender Coconut Water (220ml) + 5 Soaked Almonds [95 kcal, 3g P, 12g C, 4g F, ₹40] | Alt: Fresh Spiced Buttermilk (220ml) with coriander &amp; rock salt [45 kcal, 3g P, 4g C, 1.5g F, ₹15]</t>
        </is>
      </c>
      <c r="I209" s="11" t="inlineStr">
        <is>
          <t>Sona Masoori Rice (150g cooked) + Tender Chicken Curry (130g raw / 95g meat) + Palak (Spinach) Palya (140g) + Rasam [470 kcal, 35g P, 46g C, 13g F, ₹75]</t>
        </is>
      </c>
      <c r="J209" s="11" t="inlineStr">
        <is>
          <t>2 Soft Phulkas (80g) + Fresh Paneer Curry (85g paneer in light gravy) + French Beans Palya (120g) [450 kcal, 21g P, 44g C, 19g F, ₹55]</t>
        </is>
      </c>
      <c r="K209" s="11" t="inlineStr">
        <is>
          <t>Rice (150g) + Toor Dal Tadka (180g) + 2 Boiled Eggs + Beetroot Poriyal (120g) [460 kcal, 25g P, 52g C, 14g F, ₹42]</t>
        </is>
      </c>
      <c r="L209" s="11" t="inlineStr">
        <is>
          <t>Roasted Makhana (30g) + Hot Green Tea with lemon [130 kcal, 3g P, 21g C, 3.5g F, ₹25] | Alt: Boiled Chickpeas Sundal (70g) with mustard &amp; curry leaves [125 kcal, 6g P, 20g C, 2.5g F, ₹18]</t>
        </is>
      </c>
      <c r="M209" s="11" t="inlineStr">
        <is>
          <t>2 Soft Phulkas (75g) + 2 Boiled Eggs in Tomato Onion Curry + Cucumber Salad (100g) [415 kcal, 21g P, 42g C, 15g F, ₹38]</t>
        </is>
      </c>
      <c r="N209" s="11" t="inlineStr">
        <is>
          <t>2 Phulkas (75g) + Grilled Chicken Strips (100g cooked) + Mixed Sautéed Capsicum &amp; Onions [425 kcal, 32g P, 40g C, 11g F, ₹65]</t>
        </is>
      </c>
      <c r="O209" s="11" t="inlineStr">
        <is>
          <t>Warm Moong Dal Vegetable Khichdi (220g) + Fresh Curd (100g) [380 kcal, 15g P, 56g C, 8g F, ₹35]</t>
        </is>
      </c>
      <c r="P209" s="11" t="inlineStr">
        <is>
          <t>Optional Pre: 1 small banana [70 kcal] • Post: 1 cup warm turmeric milk [90 kcal, 6g P]</t>
        </is>
      </c>
      <c r="Q209" s="12" t="n">
        <v>1455</v>
      </c>
      <c r="R209" s="12" t="n">
        <v>80</v>
      </c>
      <c r="S209" s="12" t="n">
        <v>167</v>
      </c>
      <c r="T209" s="12" t="n">
        <v>45.5</v>
      </c>
      <c r="U209" s="12" t="n">
        <v>213</v>
      </c>
      <c r="V209" s="11" t="inlineStr">
        <is>
          <t>Cook oats in milk for 4 mins on medium flame. Stir in pinch of cinnamon powder. Weigh raw boneless chicken (130g). Steam spinach lightly with mustard tempering.</t>
        </is>
      </c>
    </row>
    <row r="210" ht="36" customHeight="1">
      <c r="A210" s="7" t="inlineStr">
        <is>
          <t>2027-05-20</t>
        </is>
      </c>
      <c r="B210" s="7" t="n">
        <v>209</v>
      </c>
      <c r="C210" s="7" t="inlineStr">
        <is>
          <t>Thursday</t>
        </is>
      </c>
      <c r="D210" s="8" t="inlineStr">
        <is>
          <t>Calcium-Rich Ragi Dosa &amp; Fresh Country Egg Feast</t>
        </is>
      </c>
      <c r="E210" s="8" t="inlineStr">
        <is>
          <t>Ragi Dosa (2 medium, 120g) + Coconut Mint Chutney (30g) + 2 Boiled Eggs [350 kcal, 19g P, 40g C, 13g F, ₹35]</t>
        </is>
      </c>
      <c r="F210" s="8" t="inlineStr">
        <is>
          <t>Steamed Idlis (3 pcs, 110g) + Vegetable Sambar (150ml) + 1 Boiled Egg [310 kcal, 13g P, 44g C, 8g F, ₹25]</t>
        </is>
      </c>
      <c r="G210" s="8" t="inlineStr">
        <is>
          <t>Vegetable Upma (180g) + Warm Toned Milk (150ml) [320 kcal, 11g P, 48g C, 9g F, ₹22]</t>
        </is>
      </c>
      <c r="H210" s="8" t="inlineStr">
        <is>
          <t>Fresh Seasonal Fruit (1 Medium Apple or 150g Papaya) + 6 Almonds [115 kcal, 3g P, 22g C, 3.5g F, ₹30] | Alt: Tender Coconut Water (220ml) [45 kcal, 1g P, 10g C, 0g F, ₹35]</t>
        </is>
      </c>
      <c r="I210" s="8" t="inlineStr">
        <is>
          <t>2 Soft Phulkas (80g) + Homestyle Egg Curry (2 eggs) + Cabbage &amp; Carrot Poriyal (140g) + Rasam [445 kcal, 22g P, 48g C, 16g F, ₹42]</t>
        </is>
      </c>
      <c r="J210" s="8" t="inlineStr">
        <is>
          <t>Sona Masoori Rice (150g) + Bengaluru Chicken Curry (95g meat) + Beans Palya (120g) [475 kcal, 34g P, 48g C, 14g F, ₹75]</t>
        </is>
      </c>
      <c r="K210" s="8" t="inlineStr">
        <is>
          <t>Rice (150g) + Thick Toor Dal Tadka (180g) + Fresh Curd (100g) + Tomato Cucumber Salad [440 kcal, 18g P, 56g C, 14g F, ₹40]</t>
        </is>
      </c>
      <c r="L210" s="8" t="inlineStr">
        <is>
          <t>Spiced Boiled Sundal / Chickpeas (80g) with lime [140 kcal, 7g P, 22g C, 3g F, ₹20] | Alt: Roasted Makhana (30g) in 1/2 tsp ghee &amp; rock salt [130 kcal, 3g P, 21g C, 3.5g F, ₹25]</t>
        </is>
      </c>
      <c r="M210" s="8" t="inlineStr">
        <is>
          <t>2 Soft Phulkas (75g) + Home Chicken Curry (100g meat) + Cucumber Salad (100g) [420 kcal, 31g P, 42g C, 12g F, ₹65]</t>
        </is>
      </c>
      <c r="N210" s="8" t="inlineStr">
        <is>
          <t>2 Phulkas (75g) + Fresh Paneer Bhurji (90g paneer, capsicum, onion) + Clear Soup [440 kcal, 20g P, 42g C, 20g F, ₹55]</t>
        </is>
      </c>
      <c r="O210" s="8" t="inlineStr">
        <is>
          <t>Rice-Moong Dal Khichdi (220g) + Curd (100g) + Lauki Sabzi (120g) [385 kcal, 14g P, 58g C, 8.5g F, ₹35]</t>
        </is>
      </c>
      <c r="P210" s="8" t="inlineStr">
        <is>
          <t>Optional Pre: 1 cup tender coconut water [45 kcal] • Post: 1 glass warm milk (150ml) [85 kcal, 5g P]</t>
        </is>
      </c>
      <c r="Q210" s="9" t="n">
        <v>1470</v>
      </c>
      <c r="R210" s="9" t="n">
        <v>82</v>
      </c>
      <c r="S210" s="9" t="n">
        <v>174</v>
      </c>
      <c r="T210" s="9" t="n">
        <v>47.5</v>
      </c>
      <c r="U210" s="9" t="n">
        <v>192</v>
      </c>
      <c r="V210" s="8" t="inlineStr">
        <is>
          <t>Mix ragi flour with equal water, pinch of salt, cumin seeds &amp; chopped onion. Pour on medium hot tawa. Cook vegetables in minimum oil with mustard seeds, curry leaves &amp; grated fresh coconut.</t>
        </is>
      </c>
    </row>
    <row r="211" ht="36" customHeight="1">
      <c r="A211" s="10" t="inlineStr">
        <is>
          <t>2027-05-21</t>
        </is>
      </c>
      <c r="B211" s="10" t="n">
        <v>210</v>
      </c>
      <c r="C211" s="10" t="inlineStr">
        <is>
          <t>Friday</t>
        </is>
      </c>
      <c r="D211" s="11" t="inlineStr">
        <is>
          <t>High-Fiber Soya Chunks &amp; Comfort Idli Sambar</t>
        </is>
      </c>
      <c r="E211" s="11" t="inlineStr">
        <is>
          <t>Steamed Idlis (3 pcs, 110g) + Vegetable Sambar (150ml) + 2 Boiled Eggs [340 kcal, 19g P, 38g C, 12g F, ₹35]</t>
        </is>
      </c>
      <c r="F211" s="11" t="inlineStr">
        <is>
          <t>Vegetable Poha (160g cooked) + 1 Boiled Egg [310 kcal, 12g P, 44g C, 9g F, ₹26]</t>
        </is>
      </c>
      <c r="G211" s="11" t="inlineStr">
        <is>
          <t>Rolled Oats cooked in toned milk (40g + 180ml milk) with 1/2 apple [290 kcal, 12g P, 45g C, 6g F, ₹30]</t>
        </is>
      </c>
      <c r="H211" s="11" t="inlineStr">
        <is>
          <t>Spiced Buttermilk / Majjige (220ml) with curry leaves &amp; ginger [45 kcal, 3g P, 4g C, 1.5g F, ₹15] | Alt: Fresh Papaya slices (150g) + 5 almonds [110 kcal, 3g P, 22g C, 3g F, ₹28]</t>
        </is>
      </c>
      <c r="I211" s="11" t="inlineStr">
        <is>
          <t>Sona Masoori Rice (150g cooked) + Soya Chunks Curry (45g dry soya chunks cooked in onion-tomato gravy) + French Beans Palya (130g) + Rasam [460 kcal, 31g P, 56g C, 9g F, ₹42]</t>
        </is>
      </c>
      <c r="J211" s="11" t="inlineStr">
        <is>
          <t>2 Phulkas (80g) + Chicken Curry (95g meat) + Cabbage Poriyal (120g) [440 kcal, 31g P, 44g C, 13g F, ₹65]</t>
        </is>
      </c>
      <c r="K211" s="11" t="inlineStr">
        <is>
          <t>Rice (150g) + Thick Toor Dal (180g) + 2 Boiled Eggs + Ridge Gourd Palya (120g) [455 kcal, 24g P, 52g C, 14g F, ₹40]</t>
        </is>
      </c>
      <c r="L211" s="11" t="inlineStr">
        <is>
          <t>Roasted Kadale / Chana (30g) + Hot Elaichi Tea (100ml milk) [140 kcal, 6g P, 20g C, 3.5g F, ₹18] | Alt: Roasted Makhana (30g) in ghee &amp; rock salt [130 kcal, 3g P, 21g C, 3.5g F, ₹25]</t>
        </is>
      </c>
      <c r="M211" s="11" t="inlineStr">
        <is>
          <t>2 Soft Phulkas (75g) + 2 Boiled Eggs in Mild Curry + Cucumber Carrot Salad (120g) [415 kcal, 21g P, 42g C, 15g F, ₹38]</t>
        </is>
      </c>
      <c r="N211" s="11" t="inlineStr">
        <is>
          <t>2 Phulkas (75g) + Paneer Bhurji (90g paneer, capsicum, tomato) + Warm Soup [445 kcal, 20g P, 44g C, 19g F, ₹58]</t>
        </is>
      </c>
      <c r="O211" s="11" t="inlineStr">
        <is>
          <t>2 Ragi Rotis (120g) + Chicken Curry (90g meat) + Cucumber Slices [425 kcal, 30g P, 46g C, 11g F, ₹68]</t>
        </is>
      </c>
      <c r="P211" s="11" t="inlineStr">
        <is>
          <t>Optional Pre: 1 small banana [70 kcal] • Post: 1 glass warm milk [90 kcal, 6g P]</t>
        </is>
      </c>
      <c r="Q211" s="12" t="n">
        <v>1400</v>
      </c>
      <c r="R211" s="12" t="n">
        <v>80</v>
      </c>
      <c r="S211" s="12" t="n">
        <v>160</v>
      </c>
      <c r="T211" s="12" t="n">
        <v>41</v>
      </c>
      <c r="U211" s="12" t="n">
        <v>151</v>
      </c>
      <c r="V211" s="11" t="inlineStr">
        <is>
          <t>Dip idlis in piping hot sambar. Eggs provide complete amino acid profile. Soak soya chunks in warm water for 15 mins. Squeeze out bitter water completely before cooking.</t>
        </is>
      </c>
    </row>
    <row r="212" ht="36" customHeight="1">
      <c r="A212" s="7" t="inlineStr">
        <is>
          <t>2027-05-22</t>
        </is>
      </c>
      <c r="B212" s="7" t="n">
        <v>211</v>
      </c>
      <c r="C212" s="7" t="inlineStr">
        <is>
          <t>Saturday</t>
        </is>
      </c>
      <c r="D212" s="8" t="inlineStr">
        <is>
          <t>Comfort Steamed Staples &amp; Bengaluru Chicken Curry</t>
        </is>
      </c>
      <c r="E212" s="8" t="inlineStr">
        <is>
          <t>Steamed Idlis (3 pcs, 110g) + Veg Sambar (150ml) + 2 Boiled Eggs (100g) [340 kcal, 19g P, 38g C, 12g F, ₹35]</t>
        </is>
      </c>
      <c r="F212" s="8" t="inlineStr">
        <is>
          <t>Steamed Idlis (3 pcs) + Veg Sambar + 1 cup warm sprouted moong salad (100g) [310 kcal, 13g P, 46g C, 5g F, ₹25]</t>
        </is>
      </c>
      <c r="G212" s="8" t="inlineStr">
        <is>
          <t>Ragi Dosa (2 medium, 120g) + Mint Chutney (30g) + 1 Boiled Egg [320 kcal, 14g P, 42g C, 11g F, ₹28]</t>
        </is>
      </c>
      <c r="H212" s="8" t="inlineStr">
        <is>
          <t>Tender Coconut Water (220ml) + Handful Roasted Chana (25g) [130 kcal, 5g P, 22g C, 2g F, ₹40] | Alt: Fresh Papaya slices (150g) + 5 soaked almonds [110 kcal, 3g P, 22g C, 3g F, ₹30]</t>
        </is>
      </c>
      <c r="I212" s="8" t="inlineStr">
        <is>
          <t>Sona Masoori Rice (150g cooked / 55g raw) + Bengaluru Chicken Curry (130g raw / 95g cooked meat) + French Beans Palya (130g) + Pepper Rasam [475 kcal, 34g P, 48g C, 14g F, ₹75]</t>
        </is>
      </c>
      <c r="J212" s="8" t="inlineStr">
        <is>
          <t>2 Soft Wheat Phulkas (80g) + Homestyle Egg Curry (2 eggs in onion-tomato gravy) + Cabbage Poriyal (140g) [440 kcal, 21g P, 48g C, 16g F, ₹40]</t>
        </is>
      </c>
      <c r="K212" s="8" t="inlineStr">
        <is>
          <t>Sona Masoori Rice (150g) + Thick Toor Dal Tadka (180g) + Paneer Palya (80g paneer) + Fresh Curd (100g) [480 kcal, 23g P, 54g C, 18g F, ₹55]</t>
        </is>
      </c>
      <c r="L212" s="8" t="inlineStr">
        <is>
          <t>Spiced Boiled Sundal / Chickpeas (80g) with mustard tempering &amp; lemon [140 kcal, 7g P, 22g C, 3g F, ₹20] | Alt: Roasted Makhana (30g) in 1/2 tsp ghee &amp; rock salt [130 kcal, 3g P, 21g C, 3.5g F, ₹25]</t>
        </is>
      </c>
      <c r="M212" s="8" t="inlineStr">
        <is>
          <t>2 Soft Whole Wheat Phulkas (75g) + Grilled/Pan Chicken Curry (100g meat) + Cucumber Tomato Salad (120g) [420 kcal, 31g P, 42g C, 12g F, ₹65]</t>
        </is>
      </c>
      <c r="N212" s="8" t="inlineStr">
        <is>
          <t>2 Phulkas (75g) + Fresh Paneer Bhurji (90g paneer with capsicum &amp; onion) + Tomato Clear Soup [440 kcal, 20g P, 42g C, 20g F, ₹55]</t>
        </is>
      </c>
      <c r="O212" s="8" t="inlineStr">
        <is>
          <t>Warm Rice-Moong Dal Khichdi (220g) + Fresh Curd (100g) + Steamed Beetroot Poriyal (100g) [380 kcal, 14g P, 58g C, 8g F, ₹35]</t>
        </is>
      </c>
      <c r="P212" s="8" t="inlineStr">
        <is>
          <t>Optional Pre: 1 small banana (80g) [70 kcal] • Post: 1 glass warm toned milk with turmeric (180ml) [95 kcal, 6g P]</t>
        </is>
      </c>
      <c r="Q212" s="9" t="n">
        <v>1505</v>
      </c>
      <c r="R212" s="9" t="n">
        <v>96</v>
      </c>
      <c r="S212" s="9" t="n">
        <v>172</v>
      </c>
      <c r="T212" s="9" t="n">
        <v>43</v>
      </c>
      <c r="U212" s="9" t="n">
        <v>235</v>
      </c>
      <c r="V212" s="8" t="inlineStr">
        <is>
          <t>Steam idlis in idli cooker for 10-12 mins. Weigh 110g cooked on kitchen scale. Zero plate on scale, measure 150g warm rice, then add 95g cooked chicken meat without bones.</t>
        </is>
      </c>
    </row>
    <row r="213" ht="36" customHeight="1">
      <c r="A213" s="10" t="inlineStr">
        <is>
          <t>2027-05-23</t>
        </is>
      </c>
      <c r="B213" s="10" t="n">
        <v>212</v>
      </c>
      <c r="C213" s="10" t="inlineStr">
        <is>
          <t>Sunday</t>
        </is>
      </c>
      <c r="D213" s="11" t="inlineStr">
        <is>
          <t>Iron-Rich Poha, Egg Curry &amp; Golden Turmeric Phulkas</t>
        </is>
      </c>
      <c r="E213" s="11" t="inlineStr">
        <is>
          <t>Vegetable Poha (160g cooked) tempered with mustard &amp; roasted peanuts (15g) + 1 Boiled Egg [330 kcal, 13g P, 44g C, 11g F, ₹28]</t>
        </is>
      </c>
      <c r="F213" s="11" t="inlineStr">
        <is>
          <t>Vegetable Poha (180g) + 1 glass warm toned milk (150ml) [310 kcal, 11g P, 48g C, 8g F, ₹24]</t>
        </is>
      </c>
      <c r="G213" s="11" t="inlineStr">
        <is>
          <t>Rolled Oats cooked in milk (40g oats + 180ml toned milk) with half diced apple [290 kcal, 12g P, 45g C, 6g F, ₹30]</t>
        </is>
      </c>
      <c r="H213" s="11" t="inlineStr">
        <is>
          <t>Spiced Majjige / Buttermilk (220ml) with grated ginger &amp; curry leaves [45 kcal, 3g P, 4g C, 1.5g F, ₹15] | Alt: 1 Crisp Guava or Apple (130g) with pinch of rock salt [75 kcal, 1.5g P, 18g C, 0.5g F, ₹20]</t>
        </is>
      </c>
      <c r="I213" s="11" t="inlineStr">
        <is>
          <t>2 Soft Phulkas (80g) + 2 Boiled Eggs in Onion-Tomato Gravy (120g gravy) + Ridge Gourd (Heerekayi) Palya (140g) [450 kcal, 22g P, 48g C, 17g F, ₹45]</t>
        </is>
      </c>
      <c r="J213" s="11" t="inlineStr">
        <is>
          <t>Sona Masoori Rice (150g) + Fish Curry (120g rohu/pomfret in light coconut gravy) + Beans Poriyal (120g) [460 kcal, 32g P, 46g C, 13g F, ₹80]</t>
        </is>
      </c>
      <c r="K213" s="11" t="inlineStr">
        <is>
          <t>Cooked Rice (150g) + Mixed Vegetable Sambar (180g) + Pan-seared Tofu or Paneer (80g) + Cucumber Slices [465 kcal, 21g P, 52g C, 17g F, ₹55]</t>
        </is>
      </c>
      <c r="L213" s="11" t="inlineStr">
        <is>
          <t>Boiled Sweet Corn (120g) with lemon squeeze &amp; chaat masala [120 kcal, 4g P, 24g C, 1.5g F, ₹20] | Alt: Roasted Kadale / Chana (30g) + Warm Elaichi Green Tea [125 kcal, 6g P, 18g C, 2.5g F, ₹15]</t>
        </is>
      </c>
      <c r="M213" s="11" t="inlineStr">
        <is>
          <t>2 Soft Phulkas (75g) + Fresh Paneer Bhurji (90g paneer, capsicum, tomato) + Warm Tomato Rasam (150ml) [445 kcal, 21g P, 44g C, 19g F, ₹60]</t>
        </is>
      </c>
      <c r="N213" s="11" t="inlineStr">
        <is>
          <t>2 Ragi Rotis (130g) + Chicken Curry (90g cooked meat) + Onion Cucumber Raita (80g) [430 kcal, 30g P, 46g C, 11g F, ₹70]</t>
        </is>
      </c>
      <c r="O213" s="11" t="inlineStr">
        <is>
          <t>Moong Dal Vegetable Dalia Khichdi (220g) + Fresh Curd (100g) [390 kcal, 16g P, 54g C, 9g F, ₹35]</t>
        </is>
      </c>
      <c r="P213" s="11" t="inlineStr">
        <is>
          <t>Optional Pre: 2 Medjool dates [80 kcal] • Post: 1 boiled egg white or 100g warm milk [55 kcal, 4g P]</t>
        </is>
      </c>
      <c r="Q213" s="12" t="n">
        <v>1390</v>
      </c>
      <c r="R213" s="12" t="n">
        <v>63</v>
      </c>
      <c r="S213" s="12" t="n">
        <v>164</v>
      </c>
      <c r="T213" s="12" t="n">
        <v>50</v>
      </c>
      <c r="U213" s="12" t="n">
        <v>168</v>
      </c>
      <c r="V213" s="11" t="inlineStr">
        <is>
          <t>Rinse thick poha in colander, drain well. Sauté with onion, curry leaves, carrots &amp; roasted peanuts. Prick boiled eggs gently before simmering in gravy to absorb rich flavours.</t>
        </is>
      </c>
    </row>
    <row r="214" ht="36" customHeight="1">
      <c r="A214" s="7" t="inlineStr">
        <is>
          <t>2027-05-24</t>
        </is>
      </c>
      <c r="B214" s="7" t="n">
        <v>213</v>
      </c>
      <c r="C214" s="7" t="inlineStr">
        <is>
          <t>Monday</t>
        </is>
      </c>
      <c r="D214" s="8" t="inlineStr">
        <is>
          <t>Bengaluru Rava Upma &amp; Fresh Coastal Home Curry</t>
        </is>
      </c>
      <c r="E214" s="8" t="inlineStr">
        <is>
          <t>Bengaluru Vegetable Rava Upma (180g cooked) with roasted peanuts + 1 Boiled Egg [340 kcal, 14g P, 44g C, 12g F, ₹26]</t>
        </is>
      </c>
      <c r="F214" s="8" t="inlineStr">
        <is>
          <t>Vegetable Upma (180g) + 1 glass warm toned milk (150ml) [320 kcal, 11g P, 48g C, 9g F, ₹24]</t>
        </is>
      </c>
      <c r="G214" s="8" t="inlineStr">
        <is>
          <t>Steamed Idlis (3 pcs) with Mint Toor Dal Chutney (40g) + 1 Boiled Egg [320 kcal, 15g P, 42g C, 9g F, ₹28]</t>
        </is>
      </c>
      <c r="H214" s="8" t="inlineStr">
        <is>
          <t>Fresh Fruit Bowl (150g watermelon or papaya) + 6 soaked almonds [110 kcal, 3g P, 22g C, 3g F, ₹30] | Alt: Tender Coconut Water (220ml) [45 kcal, 1g P, 10g C, 0g F, ₹35]</t>
        </is>
      </c>
      <c r="I214" s="8" t="inlineStr">
        <is>
          <t>Sona Masoori Rice (150g cooked) + Bengaluru Fish Curry (120g fresh fish in light gravy) + Cabbage &amp; Pea Poriyal (130g) + Rasam [450 kcal, 33g P, 46g C, 13g F, ₹80]</t>
        </is>
      </c>
      <c r="J214" s="8" t="inlineStr">
        <is>
          <t>2 Phulkas (80g) + Chicken Curry (95g cooked meat) + Cucumber Carrot Salad (100g) [440 kcal, 31g P, 44g C, 13g F, ₹65]</t>
        </is>
      </c>
      <c r="K214" s="8" t="inlineStr">
        <is>
          <t>Rice (150g) + Thick Chana Dal (180g) + Beans Palya (130g) + Fresh Curd (100g) [470 kcal, 22g P, 56g C, 15g F, ₹45]</t>
        </is>
      </c>
      <c r="L214" s="8" t="inlineStr">
        <is>
          <t>Roasted Puri Kadale / Chana (30g) + Warm Ginger Tea (100ml low-fat milk) [140 kcal, 6g P, 20g C, 3.5g F, ₹18] | Alt: Spiced Boiled Moong Sprouts (80g) with lime &amp; salt [110 kcal, 7g P, 18g C, 1g F, ₹15]</t>
        </is>
      </c>
      <c r="M214" s="8" t="inlineStr">
        <is>
          <t>2 Soft Phulkas (75g) + Soya Chunks &amp; Green Pea Curry (45g dry soya + 50g peas) + Fresh Curd (80g) [420 kcal, 29g P, 48g C, 9g F, ₹40]</t>
        </is>
      </c>
      <c r="N214" s="8" t="inlineStr">
        <is>
          <t>2 Phulkas (75g) + 2 Boiled Eggs in Homestyle Curry (100g) + Sliced Cucumber [410 kcal, 21g P, 42g C, 15g F, ₹38]</t>
        </is>
      </c>
      <c r="O214" s="8" t="inlineStr">
        <is>
          <t>2 Ragi Rotis (120g) + Mixed Vegetable Sambar (180ml) + Sautéed Palak (100g) [380 kcal, 14g P, 54g C, 8g F, ₹30]</t>
        </is>
      </c>
      <c r="P214" s="8" t="inlineStr">
        <is>
          <t>Optional Pre: 1 cup tender coconut water [45 kcal] • Post: 1 glass warm milk (150ml) [85 kcal, 5g P]</t>
        </is>
      </c>
      <c r="Q214" s="9" t="n">
        <v>1460</v>
      </c>
      <c r="R214" s="9" t="n">
        <v>85</v>
      </c>
      <c r="S214" s="9" t="n">
        <v>180</v>
      </c>
      <c r="T214" s="9" t="n">
        <v>40.5</v>
      </c>
      <c r="U214" s="9" t="n">
        <v>194</v>
      </c>
      <c r="V214" s="8" t="inlineStr">
        <is>
          <t>Dry roast semolina lightly. Tempered with mustard seeds, chana dal, green chillies &amp; mixed veggies. Use fresh local fish cuts (rohu, pomfret, or seer fish). Simmer gently for 8 mins.</t>
        </is>
      </c>
    </row>
    <row r="215" ht="36" customHeight="1">
      <c r="A215" s="10" t="inlineStr">
        <is>
          <t>2027-05-25</t>
        </is>
      </c>
      <c r="B215" s="10" t="n">
        <v>214</v>
      </c>
      <c r="C215" s="10" t="inlineStr">
        <is>
          <t>Tuesday</t>
        </is>
      </c>
      <c r="D215" s="11" t="inlineStr">
        <is>
          <t>Nourishing Rolled Oats &amp; Tender Chicken Palya</t>
        </is>
      </c>
      <c r="E215" s="11" t="inlineStr">
        <is>
          <t>Warm Rolled Oats (40g dry + 180ml toned milk) + 1 Boiled Egg + Apple slices (50g) [345 kcal, 18g P, 46g C, 10g F, ₹35]</t>
        </is>
      </c>
      <c r="F215" s="11" t="inlineStr">
        <is>
          <t>Vegetable Poha (160g cooked) + 2 Boiled Eggs [360 kcal, 18g P, 42g C, 14g F, ₹32]</t>
        </is>
      </c>
      <c r="G215" s="11" t="inlineStr">
        <is>
          <t>2 Plain Dosas (120g) + Toor Dal Sambar (150ml) + 1 cup warm sprouted moong [330 kcal, 14g P, 48g C, 7g F, ₹25]</t>
        </is>
      </c>
      <c r="H215" s="11" t="inlineStr">
        <is>
          <t>Tender Coconut Water (220ml) + 5 Soaked Almonds [95 kcal, 3g P, 12g C, 4g F, ₹40] | Alt: Fresh Spiced Buttermilk (220ml) with coriander &amp; rock salt [45 kcal, 3g P, 4g C, 1.5g F, ₹15]</t>
        </is>
      </c>
      <c r="I215" s="11" t="inlineStr">
        <is>
          <t>Sona Masoori Rice (150g cooked) + Tender Chicken Curry (130g raw / 95g meat) + Palak (Spinach) Palya (140g) + Rasam [470 kcal, 35g P, 46g C, 13g F, ₹75]</t>
        </is>
      </c>
      <c r="J215" s="11" t="inlineStr">
        <is>
          <t>2 Soft Phulkas (80g) + Fresh Paneer Curry (85g paneer in light gravy) + French Beans Palya (120g) [450 kcal, 21g P, 44g C, 19g F, ₹55]</t>
        </is>
      </c>
      <c r="K215" s="11" t="inlineStr">
        <is>
          <t>Rice (150g) + Toor Dal Tadka (180g) + 2 Boiled Eggs + Beetroot Poriyal (120g) [460 kcal, 25g P, 52g C, 14g F, ₹42]</t>
        </is>
      </c>
      <c r="L215" s="11" t="inlineStr">
        <is>
          <t>Roasted Makhana (30g) + Hot Green Tea with lemon [130 kcal, 3g P, 21g C, 3.5g F, ₹25] | Alt: Boiled Chickpeas Sundal (70g) with mustard &amp; curry leaves [125 kcal, 6g P, 20g C, 2.5g F, ₹18]</t>
        </is>
      </c>
      <c r="M215" s="11" t="inlineStr">
        <is>
          <t>2 Soft Phulkas (75g) + 2 Boiled Eggs in Tomato Onion Curry + Cucumber Salad (100g) [415 kcal, 21g P, 42g C, 15g F, ₹38]</t>
        </is>
      </c>
      <c r="N215" s="11" t="inlineStr">
        <is>
          <t>2 Phulkas (75g) + Grilled Chicken Strips (100g cooked) + Mixed Sautéed Capsicum &amp; Onions [425 kcal, 32g P, 40g C, 11g F, ₹65]</t>
        </is>
      </c>
      <c r="O215" s="11" t="inlineStr">
        <is>
          <t>Warm Moong Dal Vegetable Khichdi (220g) + Fresh Curd (100g) [380 kcal, 15g P, 56g C, 8g F, ₹35]</t>
        </is>
      </c>
      <c r="P215" s="11" t="inlineStr">
        <is>
          <t>Optional Pre: 1 small banana [70 kcal] • Post: 1 cup warm turmeric milk [90 kcal, 6g P]</t>
        </is>
      </c>
      <c r="Q215" s="12" t="n">
        <v>1455</v>
      </c>
      <c r="R215" s="12" t="n">
        <v>80</v>
      </c>
      <c r="S215" s="12" t="n">
        <v>167</v>
      </c>
      <c r="T215" s="12" t="n">
        <v>45.5</v>
      </c>
      <c r="U215" s="12" t="n">
        <v>213</v>
      </c>
      <c r="V215" s="11" t="inlineStr">
        <is>
          <t>Cook oats in milk for 4 mins on medium flame. Stir in pinch of cinnamon powder. Weigh raw boneless chicken (130g). Steam spinach lightly with mustard tempering.</t>
        </is>
      </c>
    </row>
    <row r="216" ht="36" customHeight="1">
      <c r="A216" s="7" t="inlineStr">
        <is>
          <t>2027-05-26</t>
        </is>
      </c>
      <c r="B216" s="7" t="n">
        <v>215</v>
      </c>
      <c r="C216" s="7" t="inlineStr">
        <is>
          <t>Wednesday</t>
        </is>
      </c>
      <c r="D216" s="8" t="inlineStr">
        <is>
          <t>Calcium-Rich Ragi Dosa &amp; Fresh Country Egg Feast</t>
        </is>
      </c>
      <c r="E216" s="8" t="inlineStr">
        <is>
          <t>Ragi Dosa (2 medium, 120g) + Coconut Mint Chutney (30g) + 2 Boiled Eggs [350 kcal, 19g P, 40g C, 13g F, ₹35]</t>
        </is>
      </c>
      <c r="F216" s="8" t="inlineStr">
        <is>
          <t>Steamed Idlis (3 pcs, 110g) + Vegetable Sambar (150ml) + 1 Boiled Egg [310 kcal, 13g P, 44g C, 8g F, ₹25]</t>
        </is>
      </c>
      <c r="G216" s="8" t="inlineStr">
        <is>
          <t>Vegetable Upma (180g) + Warm Toned Milk (150ml) [320 kcal, 11g P, 48g C, 9g F, ₹22]</t>
        </is>
      </c>
      <c r="H216" s="8" t="inlineStr">
        <is>
          <t>Fresh Seasonal Fruit (1 Medium Apple or 150g Papaya) + 6 Almonds [115 kcal, 3g P, 22g C, 3.5g F, ₹30] | Alt: Tender Coconut Water (220ml) [45 kcal, 1g P, 10g C, 0g F, ₹35]</t>
        </is>
      </c>
      <c r="I216" s="8" t="inlineStr">
        <is>
          <t>2 Soft Phulkas (80g) + Homestyle Egg Curry (2 eggs) + Cabbage &amp; Carrot Poriyal (140g) + Rasam [445 kcal, 22g P, 48g C, 16g F, ₹42]</t>
        </is>
      </c>
      <c r="J216" s="8" t="inlineStr">
        <is>
          <t>Sona Masoori Rice (150g) + Bengaluru Chicken Curry (95g meat) + Beans Palya (120g) [475 kcal, 34g P, 48g C, 14g F, ₹75]</t>
        </is>
      </c>
      <c r="K216" s="8" t="inlineStr">
        <is>
          <t>Rice (150g) + Thick Toor Dal Tadka (180g) + Fresh Curd (100g) + Tomato Cucumber Salad [440 kcal, 18g P, 56g C, 14g F, ₹40]</t>
        </is>
      </c>
      <c r="L216" s="8" t="inlineStr">
        <is>
          <t>Spiced Boiled Sundal / Chickpeas (80g) with lime [140 kcal, 7g P, 22g C, 3g F, ₹20] | Alt: Roasted Makhana (30g) in 1/2 tsp ghee &amp; rock salt [130 kcal, 3g P, 21g C, 3.5g F, ₹25]</t>
        </is>
      </c>
      <c r="M216" s="8" t="inlineStr">
        <is>
          <t>2 Soft Phulkas (75g) + Home Chicken Curry (100g meat) + Cucumber Salad (100g) [420 kcal, 31g P, 42g C, 12g F, ₹65]</t>
        </is>
      </c>
      <c r="N216" s="8" t="inlineStr">
        <is>
          <t>2 Phulkas (75g) + Fresh Paneer Bhurji (90g paneer, capsicum, onion) + Clear Soup [440 kcal, 20g P, 42g C, 20g F, ₹55]</t>
        </is>
      </c>
      <c r="O216" s="8" t="inlineStr">
        <is>
          <t>Rice-Moong Dal Khichdi (220g) + Curd (100g) + Lauki Sabzi (120g) [385 kcal, 14g P, 58g C, 8.5g F, ₹35]</t>
        </is>
      </c>
      <c r="P216" s="8" t="inlineStr">
        <is>
          <t>Optional Pre: 1 cup tender coconut water [45 kcal] • Post: 1 glass warm milk (150ml) [85 kcal, 5g P]</t>
        </is>
      </c>
      <c r="Q216" s="9" t="n">
        <v>1470</v>
      </c>
      <c r="R216" s="9" t="n">
        <v>82</v>
      </c>
      <c r="S216" s="9" t="n">
        <v>174</v>
      </c>
      <c r="T216" s="9" t="n">
        <v>47.5</v>
      </c>
      <c r="U216" s="9" t="n">
        <v>192</v>
      </c>
      <c r="V216" s="8" t="inlineStr">
        <is>
          <t>Mix ragi flour with equal water, pinch of salt, cumin seeds &amp; chopped onion. Pour on medium hot tawa. Cook vegetables in minimum oil with mustard seeds, curry leaves &amp; grated fresh coconut.</t>
        </is>
      </c>
    </row>
    <row r="217" ht="36" customHeight="1">
      <c r="A217" s="10" t="inlineStr">
        <is>
          <t>2027-05-27</t>
        </is>
      </c>
      <c r="B217" s="10" t="n">
        <v>216</v>
      </c>
      <c r="C217" s="10" t="inlineStr">
        <is>
          <t>Thursday</t>
        </is>
      </c>
      <c r="D217" s="11" t="inlineStr">
        <is>
          <t>High-Fiber Soya Chunks &amp; Comfort Idli Sambar</t>
        </is>
      </c>
      <c r="E217" s="11" t="inlineStr">
        <is>
          <t>Steamed Idlis (3 pcs, 110g) + Vegetable Sambar (150ml) + 2 Boiled Eggs [340 kcal, 19g P, 38g C, 12g F, ₹35]</t>
        </is>
      </c>
      <c r="F217" s="11" t="inlineStr">
        <is>
          <t>Vegetable Poha (160g cooked) + 1 Boiled Egg [310 kcal, 12g P, 44g C, 9g F, ₹26]</t>
        </is>
      </c>
      <c r="G217" s="11" t="inlineStr">
        <is>
          <t>Rolled Oats cooked in toned milk (40g + 180ml milk) with 1/2 apple [290 kcal, 12g P, 45g C, 6g F, ₹30]</t>
        </is>
      </c>
      <c r="H217" s="11" t="inlineStr">
        <is>
          <t>Spiced Buttermilk / Majjige (220ml) with curry leaves &amp; ginger [45 kcal, 3g P, 4g C, 1.5g F, ₹15] | Alt: Fresh Papaya slices (150g) + 5 almonds [110 kcal, 3g P, 22g C, 3g F, ₹28]</t>
        </is>
      </c>
      <c r="I217" s="11" t="inlineStr">
        <is>
          <t>Sona Masoori Rice (150g cooked) + Soya Chunks Curry (45g dry soya chunks cooked in onion-tomato gravy) + French Beans Palya (130g) + Rasam [460 kcal, 31g P, 56g C, 9g F, ₹42]</t>
        </is>
      </c>
      <c r="J217" s="11" t="inlineStr">
        <is>
          <t>2 Phulkas (80g) + Chicken Curry (95g meat) + Cabbage Poriyal (120g) [440 kcal, 31g P, 44g C, 13g F, ₹65]</t>
        </is>
      </c>
      <c r="K217" s="11" t="inlineStr">
        <is>
          <t>Rice (150g) + Thick Toor Dal (180g) + 2 Boiled Eggs + Ridge Gourd Palya (120g) [455 kcal, 24g P, 52g C, 14g F, ₹40]</t>
        </is>
      </c>
      <c r="L217" s="11" t="inlineStr">
        <is>
          <t>Roasted Kadale / Chana (30g) + Hot Elaichi Tea (100ml milk) [140 kcal, 6g P, 20g C, 3.5g F, ₹18] | Alt: Roasted Makhana (30g) in ghee &amp; rock salt [130 kcal, 3g P, 21g C, 3.5g F, ₹25]</t>
        </is>
      </c>
      <c r="M217" s="11" t="inlineStr">
        <is>
          <t>2 Soft Phulkas (75g) + 2 Boiled Eggs in Mild Curry + Cucumber Carrot Salad (120g) [415 kcal, 21g P, 42g C, 15g F, ₹38]</t>
        </is>
      </c>
      <c r="N217" s="11" t="inlineStr">
        <is>
          <t>2 Phulkas (75g) + Paneer Bhurji (90g paneer, capsicum, tomato) + Warm Soup [445 kcal, 20g P, 44g C, 19g F, ₹58]</t>
        </is>
      </c>
      <c r="O217" s="11" t="inlineStr">
        <is>
          <t>2 Ragi Rotis (120g) + Chicken Curry (90g meat) + Cucumber Slices [425 kcal, 30g P, 46g C, 11g F, ₹68]</t>
        </is>
      </c>
      <c r="P217" s="11" t="inlineStr">
        <is>
          <t>Optional Pre: 1 small banana [70 kcal] • Post: 1 glass warm milk [90 kcal, 6g P]</t>
        </is>
      </c>
      <c r="Q217" s="12" t="n">
        <v>1400</v>
      </c>
      <c r="R217" s="12" t="n">
        <v>80</v>
      </c>
      <c r="S217" s="12" t="n">
        <v>160</v>
      </c>
      <c r="T217" s="12" t="n">
        <v>41</v>
      </c>
      <c r="U217" s="12" t="n">
        <v>151</v>
      </c>
      <c r="V217" s="11" t="inlineStr">
        <is>
          <t>Dip idlis in piping hot sambar. Eggs provide complete amino acid profile. Soak soya chunks in warm water for 15 mins. Squeeze out bitter water completely before cooking.</t>
        </is>
      </c>
    </row>
    <row r="218" ht="36" customHeight="1">
      <c r="A218" s="7" t="inlineStr">
        <is>
          <t>2027-05-28</t>
        </is>
      </c>
      <c r="B218" s="7" t="n">
        <v>217</v>
      </c>
      <c r="C218" s="7" t="inlineStr">
        <is>
          <t>Friday</t>
        </is>
      </c>
      <c r="D218" s="8" t="inlineStr">
        <is>
          <t>Comfort Steamed Staples &amp; Bengaluru Chicken Curry</t>
        </is>
      </c>
      <c r="E218" s="8" t="inlineStr">
        <is>
          <t>Steamed Idlis (3 pcs, 110g) + Veg Sambar (150ml) + 2 Boiled Eggs (100g) [340 kcal, 19g P, 38g C, 12g F, ₹35]</t>
        </is>
      </c>
      <c r="F218" s="8" t="inlineStr">
        <is>
          <t>Steamed Idlis (3 pcs) + Veg Sambar + 1 cup warm sprouted moong salad (100g) [310 kcal, 13g P, 46g C, 5g F, ₹25]</t>
        </is>
      </c>
      <c r="G218" s="8" t="inlineStr">
        <is>
          <t>Ragi Dosa (2 medium, 120g) + Mint Chutney (30g) + 1 Boiled Egg [320 kcal, 14g P, 42g C, 11g F, ₹28]</t>
        </is>
      </c>
      <c r="H218" s="8" t="inlineStr">
        <is>
          <t>Tender Coconut Water (220ml) + Handful Roasted Chana (25g) [130 kcal, 5g P, 22g C, 2g F, ₹40] | Alt: Fresh Papaya slices (150g) + 5 soaked almonds [110 kcal, 3g P, 22g C, 3g F, ₹30]</t>
        </is>
      </c>
      <c r="I218" s="8" t="inlineStr">
        <is>
          <t>Sona Masoori Rice (150g cooked / 55g raw) + Bengaluru Chicken Curry (130g raw / 95g cooked meat) + French Beans Palya (130g) + Pepper Rasam [475 kcal, 34g P, 48g C, 14g F, ₹75]</t>
        </is>
      </c>
      <c r="J218" s="8" t="inlineStr">
        <is>
          <t>2 Soft Wheat Phulkas (80g) + Homestyle Egg Curry (2 eggs in onion-tomato gravy) + Cabbage Poriyal (140g) [440 kcal, 21g P, 48g C, 16g F, ₹40]</t>
        </is>
      </c>
      <c r="K218" s="8" t="inlineStr">
        <is>
          <t>Sona Masoori Rice (150g) + Thick Toor Dal Tadka (180g) + Paneer Palya (80g paneer) + Fresh Curd (100g) [480 kcal, 23g P, 54g C, 18g F, ₹55]</t>
        </is>
      </c>
      <c r="L218" s="8" t="inlineStr">
        <is>
          <t>Spiced Boiled Sundal / Chickpeas (80g) with mustard tempering &amp; lemon [140 kcal, 7g P, 22g C, 3g F, ₹20] | Alt: Roasted Makhana (30g) in 1/2 tsp ghee &amp; rock salt [130 kcal, 3g P, 21g C, 3.5g F, ₹25]</t>
        </is>
      </c>
      <c r="M218" s="8" t="inlineStr">
        <is>
          <t>2 Soft Whole Wheat Phulkas (75g) + Grilled/Pan Chicken Curry (100g meat) + Cucumber Tomato Salad (120g) [420 kcal, 31g P, 42g C, 12g F, ₹65]</t>
        </is>
      </c>
      <c r="N218" s="8" t="inlineStr">
        <is>
          <t>2 Phulkas (75g) + Fresh Paneer Bhurji (90g paneer with capsicum &amp; onion) + Tomato Clear Soup [440 kcal, 20g P, 42g C, 20g F, ₹55]</t>
        </is>
      </c>
      <c r="O218" s="8" t="inlineStr">
        <is>
          <t>Warm Rice-Moong Dal Khichdi (220g) + Fresh Curd (100g) + Steamed Beetroot Poriyal (100g) [380 kcal, 14g P, 58g C, 8g F, ₹35]</t>
        </is>
      </c>
      <c r="P218" s="8" t="inlineStr">
        <is>
          <t>Optional Pre: 1 small banana (80g) [70 kcal] • Post: 1 glass warm toned milk with turmeric (180ml) [95 kcal, 6g P]</t>
        </is>
      </c>
      <c r="Q218" s="9" t="n">
        <v>1505</v>
      </c>
      <c r="R218" s="9" t="n">
        <v>96</v>
      </c>
      <c r="S218" s="9" t="n">
        <v>172</v>
      </c>
      <c r="T218" s="9" t="n">
        <v>43</v>
      </c>
      <c r="U218" s="9" t="n">
        <v>235</v>
      </c>
      <c r="V218" s="8" t="inlineStr">
        <is>
          <t>Steam idlis in idli cooker for 10-12 mins. Weigh 110g cooked on kitchen scale. Zero plate on scale, measure 150g warm rice, then add 95g cooked chicken meat without bones.</t>
        </is>
      </c>
    </row>
    <row r="219" ht="36" customHeight="1">
      <c r="A219" s="10" t="inlineStr">
        <is>
          <t>2027-05-29</t>
        </is>
      </c>
      <c r="B219" s="10" t="n">
        <v>218</v>
      </c>
      <c r="C219" s="10" t="inlineStr">
        <is>
          <t>Saturday</t>
        </is>
      </c>
      <c r="D219" s="11" t="inlineStr">
        <is>
          <t>Iron-Rich Poha, Egg Curry &amp; Golden Turmeric Phulkas</t>
        </is>
      </c>
      <c r="E219" s="11" t="inlineStr">
        <is>
          <t>Vegetable Poha (160g cooked) tempered with mustard &amp; roasted peanuts (15g) + 1 Boiled Egg [330 kcal, 13g P, 44g C, 11g F, ₹28]</t>
        </is>
      </c>
      <c r="F219" s="11" t="inlineStr">
        <is>
          <t>Vegetable Poha (180g) + 1 glass warm toned milk (150ml) [310 kcal, 11g P, 48g C, 8g F, ₹24]</t>
        </is>
      </c>
      <c r="G219" s="11" t="inlineStr">
        <is>
          <t>Rolled Oats cooked in milk (40g oats + 180ml toned milk) with half diced apple [290 kcal, 12g P, 45g C, 6g F, ₹30]</t>
        </is>
      </c>
      <c r="H219" s="11" t="inlineStr">
        <is>
          <t>Spiced Majjige / Buttermilk (220ml) with grated ginger &amp; curry leaves [45 kcal, 3g P, 4g C, 1.5g F, ₹15] | Alt: 1 Crisp Guava or Apple (130g) with pinch of rock salt [75 kcal, 1.5g P, 18g C, 0.5g F, ₹20]</t>
        </is>
      </c>
      <c r="I219" s="11" t="inlineStr">
        <is>
          <t>2 Soft Phulkas (80g) + 2 Boiled Eggs in Onion-Tomato Gravy (120g gravy) + Ridge Gourd (Heerekayi) Palya (140g) [450 kcal, 22g P, 48g C, 17g F, ₹45]</t>
        </is>
      </c>
      <c r="J219" s="11" t="inlineStr">
        <is>
          <t>Sona Masoori Rice (150g) + Fish Curry (120g rohu/pomfret in light coconut gravy) + Beans Poriyal (120g) [460 kcal, 32g P, 46g C, 13g F, ₹80]</t>
        </is>
      </c>
      <c r="K219" s="11" t="inlineStr">
        <is>
          <t>Cooked Rice (150g) + Mixed Vegetable Sambar (180g) + Pan-seared Tofu or Paneer (80g) + Cucumber Slices [465 kcal, 21g P, 52g C, 17g F, ₹55]</t>
        </is>
      </c>
      <c r="L219" s="11" t="inlineStr">
        <is>
          <t>Boiled Sweet Corn (120g) with lemon squeeze &amp; chaat masala [120 kcal, 4g P, 24g C, 1.5g F, ₹20] | Alt: Roasted Kadale / Chana (30g) + Warm Elaichi Green Tea [125 kcal, 6g P, 18g C, 2.5g F, ₹15]</t>
        </is>
      </c>
      <c r="M219" s="11" t="inlineStr">
        <is>
          <t>2 Soft Phulkas (75g) + Fresh Paneer Bhurji (90g paneer, capsicum, tomato) + Warm Tomato Rasam (150ml) [445 kcal, 21g P, 44g C, 19g F, ₹60]</t>
        </is>
      </c>
      <c r="N219" s="11" t="inlineStr">
        <is>
          <t>2 Ragi Rotis (130g) + Chicken Curry (90g cooked meat) + Onion Cucumber Raita (80g) [430 kcal, 30g P, 46g C, 11g F, ₹70]</t>
        </is>
      </c>
      <c r="O219" s="11" t="inlineStr">
        <is>
          <t>Moong Dal Vegetable Dalia Khichdi (220g) + Fresh Curd (100g) [390 kcal, 16g P, 54g C, 9g F, ₹35]</t>
        </is>
      </c>
      <c r="P219" s="11" t="inlineStr">
        <is>
          <t>Optional Pre: 2 Medjool dates [80 kcal] • Post: 1 boiled egg white or 100g warm milk [55 kcal, 4g P]</t>
        </is>
      </c>
      <c r="Q219" s="12" t="n">
        <v>1390</v>
      </c>
      <c r="R219" s="12" t="n">
        <v>63</v>
      </c>
      <c r="S219" s="12" t="n">
        <v>164</v>
      </c>
      <c r="T219" s="12" t="n">
        <v>50</v>
      </c>
      <c r="U219" s="12" t="n">
        <v>168</v>
      </c>
      <c r="V219" s="11" t="inlineStr">
        <is>
          <t>Rinse thick poha in colander, drain well. Sauté with onion, curry leaves, carrots &amp; roasted peanuts. Prick boiled eggs gently before simmering in gravy to absorb rich flavours.</t>
        </is>
      </c>
    </row>
    <row r="220" ht="36" customHeight="1">
      <c r="A220" s="7" t="inlineStr">
        <is>
          <t>2027-05-30</t>
        </is>
      </c>
      <c r="B220" s="7" t="n">
        <v>219</v>
      </c>
      <c r="C220" s="7" t="inlineStr">
        <is>
          <t>Sunday</t>
        </is>
      </c>
      <c r="D220" s="8" t="inlineStr">
        <is>
          <t>Bengaluru Rava Upma &amp; Fresh Coastal Home Curry</t>
        </is>
      </c>
      <c r="E220" s="8" t="inlineStr">
        <is>
          <t>Bengaluru Vegetable Rava Upma (180g cooked) with roasted peanuts + 1 Boiled Egg [340 kcal, 14g P, 44g C, 12g F, ₹26]</t>
        </is>
      </c>
      <c r="F220" s="8" t="inlineStr">
        <is>
          <t>Vegetable Upma (180g) + 1 glass warm toned milk (150ml) [320 kcal, 11g P, 48g C, 9g F, ₹24]</t>
        </is>
      </c>
      <c r="G220" s="8" t="inlineStr">
        <is>
          <t>Steamed Idlis (3 pcs) with Mint Toor Dal Chutney (40g) + 1 Boiled Egg [320 kcal, 15g P, 42g C, 9g F, ₹28]</t>
        </is>
      </c>
      <c r="H220" s="8" t="inlineStr">
        <is>
          <t>Fresh Fruit Bowl (150g watermelon or papaya) + 6 soaked almonds [110 kcal, 3g P, 22g C, 3g F, ₹30] | Alt: Tender Coconut Water (220ml) [45 kcal, 1g P, 10g C, 0g F, ₹35]</t>
        </is>
      </c>
      <c r="I220" s="8" t="inlineStr">
        <is>
          <t>Sona Masoori Rice (150g cooked) + Bengaluru Fish Curry (120g fresh fish in light gravy) + Cabbage &amp; Pea Poriyal (130g) + Rasam [450 kcal, 33g P, 46g C, 13g F, ₹80]</t>
        </is>
      </c>
      <c r="J220" s="8" t="inlineStr">
        <is>
          <t>2 Phulkas (80g) + Chicken Curry (95g cooked meat) + Cucumber Carrot Salad (100g) [440 kcal, 31g P, 44g C, 13g F, ₹65]</t>
        </is>
      </c>
      <c r="K220" s="8" t="inlineStr">
        <is>
          <t>Rice (150g) + Thick Chana Dal (180g) + Beans Palya (130g) + Fresh Curd (100g) [470 kcal, 22g P, 56g C, 15g F, ₹45]</t>
        </is>
      </c>
      <c r="L220" s="8" t="inlineStr">
        <is>
          <t>Roasted Puri Kadale / Chana (30g) + Warm Ginger Tea (100ml low-fat milk) [140 kcal, 6g P, 20g C, 3.5g F, ₹18] | Alt: Spiced Boiled Moong Sprouts (80g) with lime &amp; salt [110 kcal, 7g P, 18g C, 1g F, ₹15]</t>
        </is>
      </c>
      <c r="M220" s="8" t="inlineStr">
        <is>
          <t>2 Soft Phulkas (75g) + Soya Chunks &amp; Green Pea Curry (45g dry soya + 50g peas) + Fresh Curd (80g) [420 kcal, 29g P, 48g C, 9g F, ₹40]</t>
        </is>
      </c>
      <c r="N220" s="8" t="inlineStr">
        <is>
          <t>2 Phulkas (75g) + 2 Boiled Eggs in Homestyle Curry (100g) + Sliced Cucumber [410 kcal, 21g P, 42g C, 15g F, ₹38]</t>
        </is>
      </c>
      <c r="O220" s="8" t="inlineStr">
        <is>
          <t>2 Ragi Rotis (120g) + Mixed Vegetable Sambar (180ml) + Sautéed Palak (100g) [380 kcal, 14g P, 54g C, 8g F, ₹30]</t>
        </is>
      </c>
      <c r="P220" s="8" t="inlineStr">
        <is>
          <t>Optional Pre: 1 cup tender coconut water [45 kcal] • Post: 1 glass warm milk (150ml) [85 kcal, 5g P]</t>
        </is>
      </c>
      <c r="Q220" s="9" t="n">
        <v>1460</v>
      </c>
      <c r="R220" s="9" t="n">
        <v>85</v>
      </c>
      <c r="S220" s="9" t="n">
        <v>180</v>
      </c>
      <c r="T220" s="9" t="n">
        <v>40.5</v>
      </c>
      <c r="U220" s="9" t="n">
        <v>194</v>
      </c>
      <c r="V220" s="8" t="inlineStr">
        <is>
          <t>Dry roast semolina lightly. Tempered with mustard seeds, chana dal, green chillies &amp; mixed veggies. Use fresh local fish cuts (rohu, pomfret, or seer fish). Simmer gently for 8 mins.</t>
        </is>
      </c>
    </row>
    <row r="221" ht="36" customHeight="1">
      <c r="A221" s="10" t="inlineStr">
        <is>
          <t>2027-05-31</t>
        </is>
      </c>
      <c r="B221" s="10" t="n">
        <v>220</v>
      </c>
      <c r="C221" s="10" t="inlineStr">
        <is>
          <t>Monday</t>
        </is>
      </c>
      <c r="D221" s="11" t="inlineStr">
        <is>
          <t>Nourishing Rolled Oats &amp; Tender Chicken Palya</t>
        </is>
      </c>
      <c r="E221" s="11" t="inlineStr">
        <is>
          <t>Warm Rolled Oats (40g dry + 180ml toned milk) + 1 Boiled Egg + Apple slices (50g) [345 kcal, 18g P, 46g C, 10g F, ₹35]</t>
        </is>
      </c>
      <c r="F221" s="11" t="inlineStr">
        <is>
          <t>Vegetable Poha (160g cooked) + 2 Boiled Eggs [360 kcal, 18g P, 42g C, 14g F, ₹32]</t>
        </is>
      </c>
      <c r="G221" s="11" t="inlineStr">
        <is>
          <t>2 Plain Dosas (120g) + Toor Dal Sambar (150ml) + 1 cup warm sprouted moong [330 kcal, 14g P, 48g C, 7g F, ₹25]</t>
        </is>
      </c>
      <c r="H221" s="11" t="inlineStr">
        <is>
          <t>Tender Coconut Water (220ml) + 5 Soaked Almonds [95 kcal, 3g P, 12g C, 4g F, ₹40] | Alt: Fresh Spiced Buttermilk (220ml) with coriander &amp; rock salt [45 kcal, 3g P, 4g C, 1.5g F, ₹15]</t>
        </is>
      </c>
      <c r="I221" s="11" t="inlineStr">
        <is>
          <t>Sona Masoori Rice (150g cooked) + Tender Chicken Curry (130g raw / 95g meat) + Palak (Spinach) Palya (140g) + Rasam [470 kcal, 35g P, 46g C, 13g F, ₹75]</t>
        </is>
      </c>
      <c r="J221" s="11" t="inlineStr">
        <is>
          <t>2 Soft Phulkas (80g) + Fresh Paneer Curry (85g paneer in light gravy) + French Beans Palya (120g) [450 kcal, 21g P, 44g C, 19g F, ₹55]</t>
        </is>
      </c>
      <c r="K221" s="11" t="inlineStr">
        <is>
          <t>Rice (150g) + Toor Dal Tadka (180g) + 2 Boiled Eggs + Beetroot Poriyal (120g) [460 kcal, 25g P, 52g C, 14g F, ₹42]</t>
        </is>
      </c>
      <c r="L221" s="11" t="inlineStr">
        <is>
          <t>Roasted Makhana (30g) + Hot Green Tea with lemon [130 kcal, 3g P, 21g C, 3.5g F, ₹25] | Alt: Boiled Chickpeas Sundal (70g) with mustard &amp; curry leaves [125 kcal, 6g P, 20g C, 2.5g F, ₹18]</t>
        </is>
      </c>
      <c r="M221" s="11" t="inlineStr">
        <is>
          <t>2 Soft Phulkas (75g) + 2 Boiled Eggs in Tomato Onion Curry + Cucumber Salad (100g) [415 kcal, 21g P, 42g C, 15g F, ₹38]</t>
        </is>
      </c>
      <c r="N221" s="11" t="inlineStr">
        <is>
          <t>2 Phulkas (75g) + Grilled Chicken Strips (100g cooked) + Mixed Sautéed Capsicum &amp; Onions [425 kcal, 32g P, 40g C, 11g F, ₹65]</t>
        </is>
      </c>
      <c r="O221" s="11" t="inlineStr">
        <is>
          <t>Warm Moong Dal Vegetable Khichdi (220g) + Fresh Curd (100g) [380 kcal, 15g P, 56g C, 8g F, ₹35]</t>
        </is>
      </c>
      <c r="P221" s="11" t="inlineStr">
        <is>
          <t>Optional Pre: 1 small banana [70 kcal] • Post: 1 cup warm turmeric milk [90 kcal, 6g P]</t>
        </is>
      </c>
      <c r="Q221" s="12" t="n">
        <v>1455</v>
      </c>
      <c r="R221" s="12" t="n">
        <v>80</v>
      </c>
      <c r="S221" s="12" t="n">
        <v>167</v>
      </c>
      <c r="T221" s="12" t="n">
        <v>45.5</v>
      </c>
      <c r="U221" s="12" t="n">
        <v>213</v>
      </c>
      <c r="V221" s="11" t="inlineStr">
        <is>
          <t>Cook oats in milk for 4 mins on medium flame. Stir in pinch of cinnamon powder. Weigh raw boneless chicken (130g). Steam spinach lightly with mustard tempering.</t>
        </is>
      </c>
    </row>
    <row r="222" ht="36" customHeight="1">
      <c r="A222" s="7" t="inlineStr">
        <is>
          <t>2027-06-01</t>
        </is>
      </c>
      <c r="B222" s="7" t="n">
        <v>221</v>
      </c>
      <c r="C222" s="7" t="inlineStr">
        <is>
          <t>Tuesday</t>
        </is>
      </c>
      <c r="D222" s="8" t="inlineStr">
        <is>
          <t>Calcium-Rich Ragi Dosa &amp; Fresh Country Egg Feast</t>
        </is>
      </c>
      <c r="E222" s="8" t="inlineStr">
        <is>
          <t>Ragi Dosa (2 medium, 120g) + Coconut Mint Chutney (30g) + 2 Boiled Eggs [350 kcal, 19g P, 40g C, 13g F, ₹35]</t>
        </is>
      </c>
      <c r="F222" s="8" t="inlineStr">
        <is>
          <t>Steamed Idlis (3 pcs, 110g) + Vegetable Sambar (150ml) + 1 Boiled Egg [310 kcal, 13g P, 44g C, 8g F, ₹25]</t>
        </is>
      </c>
      <c r="G222" s="8" t="inlineStr">
        <is>
          <t>Vegetable Upma (180g) + Warm Toned Milk (150ml) [320 kcal, 11g P, 48g C, 9g F, ₹22]</t>
        </is>
      </c>
      <c r="H222" s="8" t="inlineStr">
        <is>
          <t>Fresh Seasonal Fruit (1 Medium Apple or 150g Papaya) + 6 Almonds [115 kcal, 3g P, 22g C, 3.5g F, ₹30] | Alt: Tender Coconut Water (220ml) [45 kcal, 1g P, 10g C, 0g F, ₹35]</t>
        </is>
      </c>
      <c r="I222" s="8" t="inlineStr">
        <is>
          <t>2 Soft Phulkas (80g) + Homestyle Egg Curry (2 eggs) + Cabbage &amp; Carrot Poriyal (140g) + Rasam [445 kcal, 22g P, 48g C, 16g F, ₹42]</t>
        </is>
      </c>
      <c r="J222" s="8" t="inlineStr">
        <is>
          <t>Sona Masoori Rice (150g) + Bengaluru Chicken Curry (95g meat) + Beans Palya (120g) [475 kcal, 34g P, 48g C, 14g F, ₹75]</t>
        </is>
      </c>
      <c r="K222" s="8" t="inlineStr">
        <is>
          <t>Rice (150g) + Thick Toor Dal Tadka (180g) + Fresh Curd (100g) + Tomato Cucumber Salad [440 kcal, 18g P, 56g C, 14g F, ₹40]</t>
        </is>
      </c>
      <c r="L222" s="8" t="inlineStr">
        <is>
          <t>Spiced Boiled Sundal / Chickpeas (80g) with lime [140 kcal, 7g P, 22g C, 3g F, ₹20] | Alt: Roasted Makhana (30g) in 1/2 tsp ghee &amp; rock salt [130 kcal, 3g P, 21g C, 3.5g F, ₹25]</t>
        </is>
      </c>
      <c r="M222" s="8" t="inlineStr">
        <is>
          <t>2 Soft Phulkas (75g) + Home Chicken Curry (100g meat) + Cucumber Salad (100g) [420 kcal, 31g P, 42g C, 12g F, ₹65]</t>
        </is>
      </c>
      <c r="N222" s="8" t="inlineStr">
        <is>
          <t>2 Phulkas (75g) + Fresh Paneer Bhurji (90g paneer, capsicum, onion) + Clear Soup [440 kcal, 20g P, 42g C, 20g F, ₹55]</t>
        </is>
      </c>
      <c r="O222" s="8" t="inlineStr">
        <is>
          <t>Rice-Moong Dal Khichdi (220g) + Curd (100g) + Lauki Sabzi (120g) [385 kcal, 14g P, 58g C, 8.5g F, ₹35]</t>
        </is>
      </c>
      <c r="P222" s="8" t="inlineStr">
        <is>
          <t>Optional Pre: 1 cup tender coconut water [45 kcal] • Post: 1 glass warm milk (150ml) [85 kcal, 5g P]</t>
        </is>
      </c>
      <c r="Q222" s="9" t="n">
        <v>1470</v>
      </c>
      <c r="R222" s="9" t="n">
        <v>82</v>
      </c>
      <c r="S222" s="9" t="n">
        <v>174</v>
      </c>
      <c r="T222" s="9" t="n">
        <v>47.5</v>
      </c>
      <c r="U222" s="9" t="n">
        <v>192</v>
      </c>
      <c r="V222" s="8" t="inlineStr">
        <is>
          <t>Mix ragi flour with equal water, pinch of salt, cumin seeds &amp; chopped onion. Pour on medium hot tawa. Cook vegetables in minimum oil with mustard seeds, curry leaves &amp; grated fresh coconut.</t>
        </is>
      </c>
    </row>
    <row r="223" ht="36" customHeight="1">
      <c r="A223" s="10" t="inlineStr">
        <is>
          <t>2027-06-02</t>
        </is>
      </c>
      <c r="B223" s="10" t="n">
        <v>222</v>
      </c>
      <c r="C223" s="10" t="inlineStr">
        <is>
          <t>Wednesday</t>
        </is>
      </c>
      <c r="D223" s="11" t="inlineStr">
        <is>
          <t>High-Fiber Soya Chunks &amp; Comfort Idli Sambar</t>
        </is>
      </c>
      <c r="E223" s="11" t="inlineStr">
        <is>
          <t>Steamed Idlis (3 pcs, 110g) + Vegetable Sambar (150ml) + 2 Boiled Eggs [340 kcal, 19g P, 38g C, 12g F, ₹35]</t>
        </is>
      </c>
      <c r="F223" s="11" t="inlineStr">
        <is>
          <t>Vegetable Poha (160g cooked) + 1 Boiled Egg [310 kcal, 12g P, 44g C, 9g F, ₹26]</t>
        </is>
      </c>
      <c r="G223" s="11" t="inlineStr">
        <is>
          <t>Rolled Oats cooked in toned milk (40g + 180ml milk) with 1/2 apple [290 kcal, 12g P, 45g C, 6g F, ₹30]</t>
        </is>
      </c>
      <c r="H223" s="11" t="inlineStr">
        <is>
          <t>Spiced Buttermilk / Majjige (220ml) with curry leaves &amp; ginger [45 kcal, 3g P, 4g C, 1.5g F, ₹15] | Alt: Fresh Papaya slices (150g) + 5 almonds [110 kcal, 3g P, 22g C, 3g F, ₹28]</t>
        </is>
      </c>
      <c r="I223" s="11" t="inlineStr">
        <is>
          <t>Sona Masoori Rice (150g cooked) + Soya Chunks Curry (45g dry soya chunks cooked in onion-tomato gravy) + French Beans Palya (130g) + Rasam [460 kcal, 31g P, 56g C, 9g F, ₹42]</t>
        </is>
      </c>
      <c r="J223" s="11" t="inlineStr">
        <is>
          <t>2 Phulkas (80g) + Chicken Curry (95g meat) + Cabbage Poriyal (120g) [440 kcal, 31g P, 44g C, 13g F, ₹65]</t>
        </is>
      </c>
      <c r="K223" s="11" t="inlineStr">
        <is>
          <t>Rice (150g) + Thick Toor Dal (180g) + 2 Boiled Eggs + Ridge Gourd Palya (120g) [455 kcal, 24g P, 52g C, 14g F, ₹40]</t>
        </is>
      </c>
      <c r="L223" s="11" t="inlineStr">
        <is>
          <t>Roasted Kadale / Chana (30g) + Hot Elaichi Tea (100ml milk) [140 kcal, 6g P, 20g C, 3.5g F, ₹18] | Alt: Roasted Makhana (30g) in ghee &amp; rock salt [130 kcal, 3g P, 21g C, 3.5g F, ₹25]</t>
        </is>
      </c>
      <c r="M223" s="11" t="inlineStr">
        <is>
          <t>2 Soft Phulkas (75g) + 2 Boiled Eggs in Mild Curry + Cucumber Carrot Salad (120g) [415 kcal, 21g P, 42g C, 15g F, ₹38]</t>
        </is>
      </c>
      <c r="N223" s="11" t="inlineStr">
        <is>
          <t>2 Phulkas (75g) + Paneer Bhurji (90g paneer, capsicum, tomato) + Warm Soup [445 kcal, 20g P, 44g C, 19g F, ₹58]</t>
        </is>
      </c>
      <c r="O223" s="11" t="inlineStr">
        <is>
          <t>2 Ragi Rotis (120g) + Chicken Curry (90g meat) + Cucumber Slices [425 kcal, 30g P, 46g C, 11g F, ₹68]</t>
        </is>
      </c>
      <c r="P223" s="11" t="inlineStr">
        <is>
          <t>Optional Pre: 1 small banana [70 kcal] • Post: 1 glass warm milk [90 kcal, 6g P]</t>
        </is>
      </c>
      <c r="Q223" s="12" t="n">
        <v>1400</v>
      </c>
      <c r="R223" s="12" t="n">
        <v>80</v>
      </c>
      <c r="S223" s="12" t="n">
        <v>160</v>
      </c>
      <c r="T223" s="12" t="n">
        <v>41</v>
      </c>
      <c r="U223" s="12" t="n">
        <v>151</v>
      </c>
      <c r="V223" s="11" t="inlineStr">
        <is>
          <t>Dip idlis in piping hot sambar. Eggs provide complete amino acid profile. Soak soya chunks in warm water for 15 mins. Squeeze out bitter water completely before cooking.</t>
        </is>
      </c>
    </row>
    <row r="224" ht="36" customHeight="1">
      <c r="A224" s="7" t="inlineStr">
        <is>
          <t>2027-06-03</t>
        </is>
      </c>
      <c r="B224" s="7" t="n">
        <v>223</v>
      </c>
      <c r="C224" s="7" t="inlineStr">
        <is>
          <t>Thursday</t>
        </is>
      </c>
      <c r="D224" s="8" t="inlineStr">
        <is>
          <t>Comfort Steamed Staples &amp; Bengaluru Chicken Curry</t>
        </is>
      </c>
      <c r="E224" s="8" t="inlineStr">
        <is>
          <t>Steamed Idlis (3 pcs, 110g) + Veg Sambar (150ml) + 2 Boiled Eggs (100g) [340 kcal, 19g P, 38g C, 12g F, ₹35]</t>
        </is>
      </c>
      <c r="F224" s="8" t="inlineStr">
        <is>
          <t>Steamed Idlis (3 pcs) + Veg Sambar + 1 cup warm sprouted moong salad (100g) [310 kcal, 13g P, 46g C, 5g F, ₹25]</t>
        </is>
      </c>
      <c r="G224" s="8" t="inlineStr">
        <is>
          <t>Ragi Dosa (2 medium, 120g) + Mint Chutney (30g) + 1 Boiled Egg [320 kcal, 14g P, 42g C, 11g F, ₹28]</t>
        </is>
      </c>
      <c r="H224" s="8" t="inlineStr">
        <is>
          <t>Tender Coconut Water (220ml) + Handful Roasted Chana (25g) [130 kcal, 5g P, 22g C, 2g F, ₹40] | Alt: Fresh Papaya slices (150g) + 5 soaked almonds [110 kcal, 3g P, 22g C, 3g F, ₹30]</t>
        </is>
      </c>
      <c r="I224" s="8" t="inlineStr">
        <is>
          <t>Sona Masoori Rice (150g cooked / 55g raw) + Bengaluru Chicken Curry (130g raw / 95g cooked meat) + French Beans Palya (130g) + Pepper Rasam [475 kcal, 34g P, 48g C, 14g F, ₹75]</t>
        </is>
      </c>
      <c r="J224" s="8" t="inlineStr">
        <is>
          <t>2 Soft Wheat Phulkas (80g) + Homestyle Egg Curry (2 eggs in onion-tomato gravy) + Cabbage Poriyal (140g) [440 kcal, 21g P, 48g C, 16g F, ₹40]</t>
        </is>
      </c>
      <c r="K224" s="8" t="inlineStr">
        <is>
          <t>Sona Masoori Rice (150g) + Thick Toor Dal Tadka (180g) + Paneer Palya (80g paneer) + Fresh Curd (100g) [480 kcal, 23g P, 54g C, 18g F, ₹55]</t>
        </is>
      </c>
      <c r="L224" s="8" t="inlineStr">
        <is>
          <t>Spiced Boiled Sundal / Chickpeas (80g) with mustard tempering &amp; lemon [140 kcal, 7g P, 22g C, 3g F, ₹20] | Alt: Roasted Makhana (30g) in 1/2 tsp ghee &amp; rock salt [130 kcal, 3g P, 21g C, 3.5g F, ₹25]</t>
        </is>
      </c>
      <c r="M224" s="8" t="inlineStr">
        <is>
          <t>2 Soft Whole Wheat Phulkas (75g) + Grilled/Pan Chicken Curry (100g meat) + Cucumber Tomato Salad (120g) [420 kcal, 31g P, 42g C, 12g F, ₹65]</t>
        </is>
      </c>
      <c r="N224" s="8" t="inlineStr">
        <is>
          <t>2 Phulkas (75g) + Fresh Paneer Bhurji (90g paneer with capsicum &amp; onion) + Tomato Clear Soup [440 kcal, 20g P, 42g C, 20g F, ₹55]</t>
        </is>
      </c>
      <c r="O224" s="8" t="inlineStr">
        <is>
          <t>Warm Rice-Moong Dal Khichdi (220g) + Fresh Curd (100g) + Steamed Beetroot Poriyal (100g) [380 kcal, 14g P, 58g C, 8g F, ₹35]</t>
        </is>
      </c>
      <c r="P224" s="8" t="inlineStr">
        <is>
          <t>Optional Pre: 1 small banana (80g) [70 kcal] • Post: 1 glass warm toned milk with turmeric (180ml) [95 kcal, 6g P]</t>
        </is>
      </c>
      <c r="Q224" s="9" t="n">
        <v>1505</v>
      </c>
      <c r="R224" s="9" t="n">
        <v>96</v>
      </c>
      <c r="S224" s="9" t="n">
        <v>172</v>
      </c>
      <c r="T224" s="9" t="n">
        <v>43</v>
      </c>
      <c r="U224" s="9" t="n">
        <v>235</v>
      </c>
      <c r="V224" s="8" t="inlineStr">
        <is>
          <t>Steam idlis in idli cooker for 10-12 mins. Weigh 110g cooked on kitchen scale. Zero plate on scale, measure 150g warm rice, then add 95g cooked chicken meat without bones.</t>
        </is>
      </c>
    </row>
    <row r="225" ht="36" customHeight="1">
      <c r="A225" s="10" t="inlineStr">
        <is>
          <t>2027-06-04</t>
        </is>
      </c>
      <c r="B225" s="10" t="n">
        <v>224</v>
      </c>
      <c r="C225" s="10" t="inlineStr">
        <is>
          <t>Friday</t>
        </is>
      </c>
      <c r="D225" s="11" t="inlineStr">
        <is>
          <t>Iron-Rich Poha, Egg Curry &amp; Golden Turmeric Phulkas</t>
        </is>
      </c>
      <c r="E225" s="11" t="inlineStr">
        <is>
          <t>Vegetable Poha (160g cooked) tempered with mustard &amp; roasted peanuts (15g) + 1 Boiled Egg [330 kcal, 13g P, 44g C, 11g F, ₹28]</t>
        </is>
      </c>
      <c r="F225" s="11" t="inlineStr">
        <is>
          <t>Vegetable Poha (180g) + 1 glass warm toned milk (150ml) [310 kcal, 11g P, 48g C, 8g F, ₹24]</t>
        </is>
      </c>
      <c r="G225" s="11" t="inlineStr">
        <is>
          <t>Rolled Oats cooked in milk (40g oats + 180ml toned milk) with half diced apple [290 kcal, 12g P, 45g C, 6g F, ₹30]</t>
        </is>
      </c>
      <c r="H225" s="11" t="inlineStr">
        <is>
          <t>Spiced Majjige / Buttermilk (220ml) with grated ginger &amp; curry leaves [45 kcal, 3g P, 4g C, 1.5g F, ₹15] | Alt: 1 Crisp Guava or Apple (130g) with pinch of rock salt [75 kcal, 1.5g P, 18g C, 0.5g F, ₹20]</t>
        </is>
      </c>
      <c r="I225" s="11" t="inlineStr">
        <is>
          <t>2 Soft Phulkas (80g) + 2 Boiled Eggs in Onion-Tomato Gravy (120g gravy) + Ridge Gourd (Heerekayi) Palya (140g) [450 kcal, 22g P, 48g C, 17g F, ₹45]</t>
        </is>
      </c>
      <c r="J225" s="11" t="inlineStr">
        <is>
          <t>Sona Masoori Rice (150g) + Fish Curry (120g rohu/pomfret in light coconut gravy) + Beans Poriyal (120g) [460 kcal, 32g P, 46g C, 13g F, ₹80]</t>
        </is>
      </c>
      <c r="K225" s="11" t="inlineStr">
        <is>
          <t>Cooked Rice (150g) + Mixed Vegetable Sambar (180g) + Pan-seared Tofu or Paneer (80g) + Cucumber Slices [465 kcal, 21g P, 52g C, 17g F, ₹55]</t>
        </is>
      </c>
      <c r="L225" s="11" t="inlineStr">
        <is>
          <t>Boiled Sweet Corn (120g) with lemon squeeze &amp; chaat masala [120 kcal, 4g P, 24g C, 1.5g F, ₹20] | Alt: Roasted Kadale / Chana (30g) + Warm Elaichi Green Tea [125 kcal, 6g P, 18g C, 2.5g F, ₹15]</t>
        </is>
      </c>
      <c r="M225" s="11" t="inlineStr">
        <is>
          <t>2 Soft Phulkas (75g) + Fresh Paneer Bhurji (90g paneer, capsicum, tomato) + Warm Tomato Rasam (150ml) [445 kcal, 21g P, 44g C, 19g F, ₹60]</t>
        </is>
      </c>
      <c r="N225" s="11" t="inlineStr">
        <is>
          <t>2 Ragi Rotis (130g) + Chicken Curry (90g cooked meat) + Onion Cucumber Raita (80g) [430 kcal, 30g P, 46g C, 11g F, ₹70]</t>
        </is>
      </c>
      <c r="O225" s="11" t="inlineStr">
        <is>
          <t>Moong Dal Vegetable Dalia Khichdi (220g) + Fresh Curd (100g) [390 kcal, 16g P, 54g C, 9g F, ₹35]</t>
        </is>
      </c>
      <c r="P225" s="11" t="inlineStr">
        <is>
          <t>Optional Pre: 2 Medjool dates [80 kcal] • Post: 1 boiled egg white or 100g warm milk [55 kcal, 4g P]</t>
        </is>
      </c>
      <c r="Q225" s="12" t="n">
        <v>1390</v>
      </c>
      <c r="R225" s="12" t="n">
        <v>63</v>
      </c>
      <c r="S225" s="12" t="n">
        <v>164</v>
      </c>
      <c r="T225" s="12" t="n">
        <v>50</v>
      </c>
      <c r="U225" s="12" t="n">
        <v>168</v>
      </c>
      <c r="V225" s="11" t="inlineStr">
        <is>
          <t>Rinse thick poha in colander, drain well. Sauté with onion, curry leaves, carrots &amp; roasted peanuts. Prick boiled eggs gently before simmering in gravy to absorb rich flavours.</t>
        </is>
      </c>
    </row>
    <row r="226" ht="36" customHeight="1">
      <c r="A226" s="7" t="inlineStr">
        <is>
          <t>2027-06-05</t>
        </is>
      </c>
      <c r="B226" s="7" t="n">
        <v>225</v>
      </c>
      <c r="C226" s="7" t="inlineStr">
        <is>
          <t>Saturday</t>
        </is>
      </c>
      <c r="D226" s="8" t="inlineStr">
        <is>
          <t>Bengaluru Rava Upma &amp; Fresh Coastal Home Curry</t>
        </is>
      </c>
      <c r="E226" s="8" t="inlineStr">
        <is>
          <t>Bengaluru Vegetable Rava Upma (180g cooked) with roasted peanuts + 1 Boiled Egg [340 kcal, 14g P, 44g C, 12g F, ₹26]</t>
        </is>
      </c>
      <c r="F226" s="8" t="inlineStr">
        <is>
          <t>Vegetable Upma (180g) + 1 glass warm toned milk (150ml) [320 kcal, 11g P, 48g C, 9g F, ₹24]</t>
        </is>
      </c>
      <c r="G226" s="8" t="inlineStr">
        <is>
          <t>Steamed Idlis (3 pcs) with Mint Toor Dal Chutney (40g) + 1 Boiled Egg [320 kcal, 15g P, 42g C, 9g F, ₹28]</t>
        </is>
      </c>
      <c r="H226" s="8" t="inlineStr">
        <is>
          <t>Fresh Fruit Bowl (150g watermelon or papaya) + 6 soaked almonds [110 kcal, 3g P, 22g C, 3g F, ₹30] | Alt: Tender Coconut Water (220ml) [45 kcal, 1g P, 10g C, 0g F, ₹35]</t>
        </is>
      </c>
      <c r="I226" s="8" t="inlineStr">
        <is>
          <t>Sona Masoori Rice (150g cooked) + Bengaluru Fish Curry (120g fresh fish in light gravy) + Cabbage &amp; Pea Poriyal (130g) + Rasam [450 kcal, 33g P, 46g C, 13g F, ₹80]</t>
        </is>
      </c>
      <c r="J226" s="8" t="inlineStr">
        <is>
          <t>2 Phulkas (80g) + Chicken Curry (95g cooked meat) + Cucumber Carrot Salad (100g) [440 kcal, 31g P, 44g C, 13g F, ₹65]</t>
        </is>
      </c>
      <c r="K226" s="8" t="inlineStr">
        <is>
          <t>Rice (150g) + Thick Chana Dal (180g) + Beans Palya (130g) + Fresh Curd (100g) [470 kcal, 22g P, 56g C, 15g F, ₹45]</t>
        </is>
      </c>
      <c r="L226" s="8" t="inlineStr">
        <is>
          <t>Roasted Puri Kadale / Chana (30g) + Warm Ginger Tea (100ml low-fat milk) [140 kcal, 6g P, 20g C, 3.5g F, ₹18] | Alt: Spiced Boiled Moong Sprouts (80g) with lime &amp; salt [110 kcal, 7g P, 18g C, 1g F, ₹15]</t>
        </is>
      </c>
      <c r="M226" s="8" t="inlineStr">
        <is>
          <t>2 Soft Phulkas (75g) + Soya Chunks &amp; Green Pea Curry (45g dry soya + 50g peas) + Fresh Curd (80g) [420 kcal, 29g P, 48g C, 9g F, ₹40]</t>
        </is>
      </c>
      <c r="N226" s="8" t="inlineStr">
        <is>
          <t>2 Phulkas (75g) + 2 Boiled Eggs in Homestyle Curry (100g) + Sliced Cucumber [410 kcal, 21g P, 42g C, 15g F, ₹38]</t>
        </is>
      </c>
      <c r="O226" s="8" t="inlineStr">
        <is>
          <t>2 Ragi Rotis (120g) + Mixed Vegetable Sambar (180ml) + Sautéed Palak (100g) [380 kcal, 14g P, 54g C, 8g F, ₹30]</t>
        </is>
      </c>
      <c r="P226" s="8" t="inlineStr">
        <is>
          <t>Optional Pre: 1 cup tender coconut water [45 kcal] • Post: 1 glass warm milk (150ml) [85 kcal, 5g P]</t>
        </is>
      </c>
      <c r="Q226" s="9" t="n">
        <v>1460</v>
      </c>
      <c r="R226" s="9" t="n">
        <v>85</v>
      </c>
      <c r="S226" s="9" t="n">
        <v>180</v>
      </c>
      <c r="T226" s="9" t="n">
        <v>40.5</v>
      </c>
      <c r="U226" s="9" t="n">
        <v>194</v>
      </c>
      <c r="V226" s="8" t="inlineStr">
        <is>
          <t>Dry roast semolina lightly. Tempered with mustard seeds, chana dal, green chillies &amp; mixed veggies. Use fresh local fish cuts (rohu, pomfret, or seer fish). Simmer gently for 8 mins.</t>
        </is>
      </c>
    </row>
    <row r="227" ht="36" customHeight="1">
      <c r="A227" s="10" t="inlineStr">
        <is>
          <t>2027-06-06</t>
        </is>
      </c>
      <c r="B227" s="10" t="n">
        <v>226</v>
      </c>
      <c r="C227" s="10" t="inlineStr">
        <is>
          <t>Sunday</t>
        </is>
      </c>
      <c r="D227" s="11" t="inlineStr">
        <is>
          <t>Nourishing Rolled Oats &amp; Tender Chicken Palya</t>
        </is>
      </c>
      <c r="E227" s="11" t="inlineStr">
        <is>
          <t>Warm Rolled Oats (40g dry + 180ml toned milk) + 1 Boiled Egg + Apple slices (50g) [345 kcal, 18g P, 46g C, 10g F, ₹35]</t>
        </is>
      </c>
      <c r="F227" s="11" t="inlineStr">
        <is>
          <t>Vegetable Poha (160g cooked) + 2 Boiled Eggs [360 kcal, 18g P, 42g C, 14g F, ₹32]</t>
        </is>
      </c>
      <c r="G227" s="11" t="inlineStr">
        <is>
          <t>2 Plain Dosas (120g) + Toor Dal Sambar (150ml) + 1 cup warm sprouted moong [330 kcal, 14g P, 48g C, 7g F, ₹25]</t>
        </is>
      </c>
      <c r="H227" s="11" t="inlineStr">
        <is>
          <t>Tender Coconut Water (220ml) + 5 Soaked Almonds [95 kcal, 3g P, 12g C, 4g F, ₹40] | Alt: Fresh Spiced Buttermilk (220ml) with coriander &amp; rock salt [45 kcal, 3g P, 4g C, 1.5g F, ₹15]</t>
        </is>
      </c>
      <c r="I227" s="11" t="inlineStr">
        <is>
          <t>Sona Masoori Rice (150g cooked) + Tender Chicken Curry (130g raw / 95g meat) + Palak (Spinach) Palya (140g) + Rasam [470 kcal, 35g P, 46g C, 13g F, ₹75]</t>
        </is>
      </c>
      <c r="J227" s="11" t="inlineStr">
        <is>
          <t>2 Soft Phulkas (80g) + Fresh Paneer Curry (85g paneer in light gravy) + French Beans Palya (120g) [450 kcal, 21g P, 44g C, 19g F, ₹55]</t>
        </is>
      </c>
      <c r="K227" s="11" t="inlineStr">
        <is>
          <t>Rice (150g) + Toor Dal Tadka (180g) + 2 Boiled Eggs + Beetroot Poriyal (120g) [460 kcal, 25g P, 52g C, 14g F, ₹42]</t>
        </is>
      </c>
      <c r="L227" s="11" t="inlineStr">
        <is>
          <t>Roasted Makhana (30g) + Hot Green Tea with lemon [130 kcal, 3g P, 21g C, 3.5g F, ₹25] | Alt: Boiled Chickpeas Sundal (70g) with mustard &amp; curry leaves [125 kcal, 6g P, 20g C, 2.5g F, ₹18]</t>
        </is>
      </c>
      <c r="M227" s="11" t="inlineStr">
        <is>
          <t>2 Soft Phulkas (75g) + 2 Boiled Eggs in Tomato Onion Curry + Cucumber Salad (100g) [415 kcal, 21g P, 42g C, 15g F, ₹38]</t>
        </is>
      </c>
      <c r="N227" s="11" t="inlineStr">
        <is>
          <t>2 Phulkas (75g) + Grilled Chicken Strips (100g cooked) + Mixed Sautéed Capsicum &amp; Onions [425 kcal, 32g P, 40g C, 11g F, ₹65]</t>
        </is>
      </c>
      <c r="O227" s="11" t="inlineStr">
        <is>
          <t>Warm Moong Dal Vegetable Khichdi (220g) + Fresh Curd (100g) [380 kcal, 15g P, 56g C, 8g F, ₹35]</t>
        </is>
      </c>
      <c r="P227" s="11" t="inlineStr">
        <is>
          <t>Optional Pre: 1 small banana [70 kcal] • Post: 1 cup warm turmeric milk [90 kcal, 6g P]</t>
        </is>
      </c>
      <c r="Q227" s="12" t="n">
        <v>1455</v>
      </c>
      <c r="R227" s="12" t="n">
        <v>80</v>
      </c>
      <c r="S227" s="12" t="n">
        <v>167</v>
      </c>
      <c r="T227" s="12" t="n">
        <v>45.5</v>
      </c>
      <c r="U227" s="12" t="n">
        <v>213</v>
      </c>
      <c r="V227" s="11" t="inlineStr">
        <is>
          <t>Cook oats in milk for 4 mins on medium flame. Stir in pinch of cinnamon powder. Weigh raw boneless chicken (130g). Steam spinach lightly with mustard tempering.</t>
        </is>
      </c>
    </row>
    <row r="228" ht="36" customHeight="1">
      <c r="A228" s="7" t="inlineStr">
        <is>
          <t>2027-06-07</t>
        </is>
      </c>
      <c r="B228" s="7" t="n">
        <v>227</v>
      </c>
      <c r="C228" s="7" t="inlineStr">
        <is>
          <t>Monday</t>
        </is>
      </c>
      <c r="D228" s="8" t="inlineStr">
        <is>
          <t>Calcium-Rich Ragi Dosa &amp; Fresh Country Egg Feast</t>
        </is>
      </c>
      <c r="E228" s="8" t="inlineStr">
        <is>
          <t>Ragi Dosa (2 medium, 120g) + Coconut Mint Chutney (30g) + 2 Boiled Eggs [350 kcal, 19g P, 40g C, 13g F, ₹35]</t>
        </is>
      </c>
      <c r="F228" s="8" t="inlineStr">
        <is>
          <t>Steamed Idlis (3 pcs, 110g) + Vegetable Sambar (150ml) + 1 Boiled Egg [310 kcal, 13g P, 44g C, 8g F, ₹25]</t>
        </is>
      </c>
      <c r="G228" s="8" t="inlineStr">
        <is>
          <t>Vegetable Upma (180g) + Warm Toned Milk (150ml) [320 kcal, 11g P, 48g C, 9g F, ₹22]</t>
        </is>
      </c>
      <c r="H228" s="8" t="inlineStr">
        <is>
          <t>Fresh Seasonal Fruit (1 Medium Apple or 150g Papaya) + 6 Almonds [115 kcal, 3g P, 22g C, 3.5g F, ₹30] | Alt: Tender Coconut Water (220ml) [45 kcal, 1g P, 10g C, 0g F, ₹35]</t>
        </is>
      </c>
      <c r="I228" s="8" t="inlineStr">
        <is>
          <t>2 Soft Phulkas (80g) + Homestyle Egg Curry (2 eggs) + Cabbage &amp; Carrot Poriyal (140g) + Rasam [445 kcal, 22g P, 48g C, 16g F, ₹42]</t>
        </is>
      </c>
      <c r="J228" s="8" t="inlineStr">
        <is>
          <t>Sona Masoori Rice (150g) + Bengaluru Chicken Curry (95g meat) + Beans Palya (120g) [475 kcal, 34g P, 48g C, 14g F, ₹75]</t>
        </is>
      </c>
      <c r="K228" s="8" t="inlineStr">
        <is>
          <t>Rice (150g) + Thick Toor Dal Tadka (180g) + Fresh Curd (100g) + Tomato Cucumber Salad [440 kcal, 18g P, 56g C, 14g F, ₹40]</t>
        </is>
      </c>
      <c r="L228" s="8" t="inlineStr">
        <is>
          <t>Spiced Boiled Sundal / Chickpeas (80g) with lime [140 kcal, 7g P, 22g C, 3g F, ₹20] | Alt: Roasted Makhana (30g) in 1/2 tsp ghee &amp; rock salt [130 kcal, 3g P, 21g C, 3.5g F, ₹25]</t>
        </is>
      </c>
      <c r="M228" s="8" t="inlineStr">
        <is>
          <t>2 Soft Phulkas (75g) + Home Chicken Curry (100g meat) + Cucumber Salad (100g) [420 kcal, 31g P, 42g C, 12g F, ₹65]</t>
        </is>
      </c>
      <c r="N228" s="8" t="inlineStr">
        <is>
          <t>2 Phulkas (75g) + Fresh Paneer Bhurji (90g paneer, capsicum, onion) + Clear Soup [440 kcal, 20g P, 42g C, 20g F, ₹55]</t>
        </is>
      </c>
      <c r="O228" s="8" t="inlineStr">
        <is>
          <t>Rice-Moong Dal Khichdi (220g) + Curd (100g) + Lauki Sabzi (120g) [385 kcal, 14g P, 58g C, 8.5g F, ₹35]</t>
        </is>
      </c>
      <c r="P228" s="8" t="inlineStr">
        <is>
          <t>Optional Pre: 1 cup tender coconut water [45 kcal] • Post: 1 glass warm milk (150ml) [85 kcal, 5g P]</t>
        </is>
      </c>
      <c r="Q228" s="9" t="n">
        <v>1470</v>
      </c>
      <c r="R228" s="9" t="n">
        <v>82</v>
      </c>
      <c r="S228" s="9" t="n">
        <v>174</v>
      </c>
      <c r="T228" s="9" t="n">
        <v>47.5</v>
      </c>
      <c r="U228" s="9" t="n">
        <v>192</v>
      </c>
      <c r="V228" s="8" t="inlineStr">
        <is>
          <t>Mix ragi flour with equal water, pinch of salt, cumin seeds &amp; chopped onion. Pour on medium hot tawa. Cook vegetables in minimum oil with mustard seeds, curry leaves &amp; grated fresh coconut.</t>
        </is>
      </c>
    </row>
    <row r="229" ht="36" customHeight="1">
      <c r="A229" s="10" t="inlineStr">
        <is>
          <t>2027-06-08</t>
        </is>
      </c>
      <c r="B229" s="10" t="n">
        <v>228</v>
      </c>
      <c r="C229" s="10" t="inlineStr">
        <is>
          <t>Tuesday</t>
        </is>
      </c>
      <c r="D229" s="11" t="inlineStr">
        <is>
          <t>High-Fiber Soya Chunks &amp; Comfort Idli Sambar</t>
        </is>
      </c>
      <c r="E229" s="11" t="inlineStr">
        <is>
          <t>Steamed Idlis (3 pcs, 110g) + Vegetable Sambar (150ml) + 2 Boiled Eggs [340 kcal, 19g P, 38g C, 12g F, ₹35]</t>
        </is>
      </c>
      <c r="F229" s="11" t="inlineStr">
        <is>
          <t>Vegetable Poha (160g cooked) + 1 Boiled Egg [310 kcal, 12g P, 44g C, 9g F, ₹26]</t>
        </is>
      </c>
      <c r="G229" s="11" t="inlineStr">
        <is>
          <t>Rolled Oats cooked in toned milk (40g + 180ml milk) with 1/2 apple [290 kcal, 12g P, 45g C, 6g F, ₹30]</t>
        </is>
      </c>
      <c r="H229" s="11" t="inlineStr">
        <is>
          <t>Spiced Buttermilk / Majjige (220ml) with curry leaves &amp; ginger [45 kcal, 3g P, 4g C, 1.5g F, ₹15] | Alt: Fresh Papaya slices (150g) + 5 almonds [110 kcal, 3g P, 22g C, 3g F, ₹28]</t>
        </is>
      </c>
      <c r="I229" s="11" t="inlineStr">
        <is>
          <t>Sona Masoori Rice (150g cooked) + Soya Chunks Curry (45g dry soya chunks cooked in onion-tomato gravy) + French Beans Palya (130g) + Rasam [460 kcal, 31g P, 56g C, 9g F, ₹42]</t>
        </is>
      </c>
      <c r="J229" s="11" t="inlineStr">
        <is>
          <t>2 Phulkas (80g) + Chicken Curry (95g meat) + Cabbage Poriyal (120g) [440 kcal, 31g P, 44g C, 13g F, ₹65]</t>
        </is>
      </c>
      <c r="K229" s="11" t="inlineStr">
        <is>
          <t>Rice (150g) + Thick Toor Dal (180g) + 2 Boiled Eggs + Ridge Gourd Palya (120g) [455 kcal, 24g P, 52g C, 14g F, ₹40]</t>
        </is>
      </c>
      <c r="L229" s="11" t="inlineStr">
        <is>
          <t>Roasted Kadale / Chana (30g) + Hot Elaichi Tea (100ml milk) [140 kcal, 6g P, 20g C, 3.5g F, ₹18] | Alt: Roasted Makhana (30g) in ghee &amp; rock salt [130 kcal, 3g P, 21g C, 3.5g F, ₹25]</t>
        </is>
      </c>
      <c r="M229" s="11" t="inlineStr">
        <is>
          <t>2 Soft Phulkas (75g) + 2 Boiled Eggs in Mild Curry + Cucumber Carrot Salad (120g) [415 kcal, 21g P, 42g C, 15g F, ₹38]</t>
        </is>
      </c>
      <c r="N229" s="11" t="inlineStr">
        <is>
          <t>2 Phulkas (75g) + Paneer Bhurji (90g paneer, capsicum, tomato) + Warm Soup [445 kcal, 20g P, 44g C, 19g F, ₹58]</t>
        </is>
      </c>
      <c r="O229" s="11" t="inlineStr">
        <is>
          <t>2 Ragi Rotis (120g) + Chicken Curry (90g meat) + Cucumber Slices [425 kcal, 30g P, 46g C, 11g F, ₹68]</t>
        </is>
      </c>
      <c r="P229" s="11" t="inlineStr">
        <is>
          <t>Optional Pre: 1 small banana [70 kcal] • Post: 1 glass warm milk [90 kcal, 6g P]</t>
        </is>
      </c>
      <c r="Q229" s="12" t="n">
        <v>1400</v>
      </c>
      <c r="R229" s="12" t="n">
        <v>80</v>
      </c>
      <c r="S229" s="12" t="n">
        <v>160</v>
      </c>
      <c r="T229" s="12" t="n">
        <v>41</v>
      </c>
      <c r="U229" s="12" t="n">
        <v>151</v>
      </c>
      <c r="V229" s="11" t="inlineStr">
        <is>
          <t>Dip idlis in piping hot sambar. Eggs provide complete amino acid profile. Soak soya chunks in warm water for 15 mins. Squeeze out bitter water completely before cooking.</t>
        </is>
      </c>
    </row>
    <row r="230" ht="36" customHeight="1">
      <c r="A230" s="7" t="inlineStr">
        <is>
          <t>2027-06-09</t>
        </is>
      </c>
      <c r="B230" s="7" t="n">
        <v>229</v>
      </c>
      <c r="C230" s="7" t="inlineStr">
        <is>
          <t>Wednesday</t>
        </is>
      </c>
      <c r="D230" s="8" t="inlineStr">
        <is>
          <t>Comfort Steamed Staples &amp; Bengaluru Chicken Curry</t>
        </is>
      </c>
      <c r="E230" s="8" t="inlineStr">
        <is>
          <t>Steamed Idlis (3 pcs, 110g) + Veg Sambar (150ml) + 2 Boiled Eggs (100g) [340 kcal, 19g P, 38g C, 12g F, ₹35]</t>
        </is>
      </c>
      <c r="F230" s="8" t="inlineStr">
        <is>
          <t>Steamed Idlis (3 pcs) + Veg Sambar + 1 cup warm sprouted moong salad (100g) [310 kcal, 13g P, 46g C, 5g F, ₹25]</t>
        </is>
      </c>
      <c r="G230" s="8" t="inlineStr">
        <is>
          <t>Ragi Dosa (2 medium, 120g) + Mint Chutney (30g) + 1 Boiled Egg [320 kcal, 14g P, 42g C, 11g F, ₹28]</t>
        </is>
      </c>
      <c r="H230" s="8" t="inlineStr">
        <is>
          <t>Tender Coconut Water (220ml) + Handful Roasted Chana (25g) [130 kcal, 5g P, 22g C, 2g F, ₹40] | Alt: Fresh Papaya slices (150g) + 5 soaked almonds [110 kcal, 3g P, 22g C, 3g F, ₹30]</t>
        </is>
      </c>
      <c r="I230" s="8" t="inlineStr">
        <is>
          <t>Sona Masoori Rice (150g cooked / 55g raw) + Bengaluru Chicken Curry (130g raw / 95g cooked meat) + French Beans Palya (130g) + Pepper Rasam [475 kcal, 34g P, 48g C, 14g F, ₹75]</t>
        </is>
      </c>
      <c r="J230" s="8" t="inlineStr">
        <is>
          <t>2 Soft Wheat Phulkas (80g) + Homestyle Egg Curry (2 eggs in onion-tomato gravy) + Cabbage Poriyal (140g) [440 kcal, 21g P, 48g C, 16g F, ₹40]</t>
        </is>
      </c>
      <c r="K230" s="8" t="inlineStr">
        <is>
          <t>Sona Masoori Rice (150g) + Thick Toor Dal Tadka (180g) + Paneer Palya (80g paneer) + Fresh Curd (100g) [480 kcal, 23g P, 54g C, 18g F, ₹55]</t>
        </is>
      </c>
      <c r="L230" s="8" t="inlineStr">
        <is>
          <t>Spiced Boiled Sundal / Chickpeas (80g) with mustard tempering &amp; lemon [140 kcal, 7g P, 22g C, 3g F, ₹20] | Alt: Roasted Makhana (30g) in 1/2 tsp ghee &amp; rock salt [130 kcal, 3g P, 21g C, 3.5g F, ₹25]</t>
        </is>
      </c>
      <c r="M230" s="8" t="inlineStr">
        <is>
          <t>2 Soft Whole Wheat Phulkas (75g) + Grilled/Pan Chicken Curry (100g meat) + Cucumber Tomato Salad (120g) [420 kcal, 31g P, 42g C, 12g F, ₹65]</t>
        </is>
      </c>
      <c r="N230" s="8" t="inlineStr">
        <is>
          <t>2 Phulkas (75g) + Fresh Paneer Bhurji (90g paneer with capsicum &amp; onion) + Tomato Clear Soup [440 kcal, 20g P, 42g C, 20g F, ₹55]</t>
        </is>
      </c>
      <c r="O230" s="8" t="inlineStr">
        <is>
          <t>Warm Rice-Moong Dal Khichdi (220g) + Fresh Curd (100g) + Steamed Beetroot Poriyal (100g) [380 kcal, 14g P, 58g C, 8g F, ₹35]</t>
        </is>
      </c>
      <c r="P230" s="8" t="inlineStr">
        <is>
          <t>Optional Pre: 1 small banana (80g) [70 kcal] • Post: 1 glass warm toned milk with turmeric (180ml) [95 kcal, 6g P]</t>
        </is>
      </c>
      <c r="Q230" s="9" t="n">
        <v>1505</v>
      </c>
      <c r="R230" s="9" t="n">
        <v>96</v>
      </c>
      <c r="S230" s="9" t="n">
        <v>172</v>
      </c>
      <c r="T230" s="9" t="n">
        <v>43</v>
      </c>
      <c r="U230" s="9" t="n">
        <v>235</v>
      </c>
      <c r="V230" s="8" t="inlineStr">
        <is>
          <t>Steam idlis in idli cooker for 10-12 mins. Weigh 110g cooked on kitchen scale. Zero plate on scale, measure 150g warm rice, then add 95g cooked chicken meat without bones.</t>
        </is>
      </c>
    </row>
    <row r="231" ht="36" customHeight="1">
      <c r="A231" s="10" t="inlineStr">
        <is>
          <t>2027-06-10</t>
        </is>
      </c>
      <c r="B231" s="10" t="n">
        <v>230</v>
      </c>
      <c r="C231" s="10" t="inlineStr">
        <is>
          <t>Thursday</t>
        </is>
      </c>
      <c r="D231" s="11" t="inlineStr">
        <is>
          <t>Iron-Rich Poha, Egg Curry &amp; Golden Turmeric Phulkas</t>
        </is>
      </c>
      <c r="E231" s="11" t="inlineStr">
        <is>
          <t>Vegetable Poha (160g cooked) tempered with mustard &amp; roasted peanuts (15g) + 1 Boiled Egg [330 kcal, 13g P, 44g C, 11g F, ₹28]</t>
        </is>
      </c>
      <c r="F231" s="11" t="inlineStr">
        <is>
          <t>Vegetable Poha (180g) + 1 glass warm toned milk (150ml) [310 kcal, 11g P, 48g C, 8g F, ₹24]</t>
        </is>
      </c>
      <c r="G231" s="11" t="inlineStr">
        <is>
          <t>Rolled Oats cooked in milk (40g oats + 180ml toned milk) with half diced apple [290 kcal, 12g P, 45g C, 6g F, ₹30]</t>
        </is>
      </c>
      <c r="H231" s="11" t="inlineStr">
        <is>
          <t>Spiced Majjige / Buttermilk (220ml) with grated ginger &amp; curry leaves [45 kcal, 3g P, 4g C, 1.5g F, ₹15] | Alt: 1 Crisp Guava or Apple (130g) with pinch of rock salt [75 kcal, 1.5g P, 18g C, 0.5g F, ₹20]</t>
        </is>
      </c>
      <c r="I231" s="11" t="inlineStr">
        <is>
          <t>2 Soft Phulkas (80g) + 2 Boiled Eggs in Onion-Tomato Gravy (120g gravy) + Ridge Gourd (Heerekayi) Palya (140g) [450 kcal, 22g P, 48g C, 17g F, ₹45]</t>
        </is>
      </c>
      <c r="J231" s="11" t="inlineStr">
        <is>
          <t>Sona Masoori Rice (150g) + Fish Curry (120g rohu/pomfret in light coconut gravy) + Beans Poriyal (120g) [460 kcal, 32g P, 46g C, 13g F, ₹80]</t>
        </is>
      </c>
      <c r="K231" s="11" t="inlineStr">
        <is>
          <t>Cooked Rice (150g) + Mixed Vegetable Sambar (180g) + Pan-seared Tofu or Paneer (80g) + Cucumber Slices [465 kcal, 21g P, 52g C, 17g F, ₹55]</t>
        </is>
      </c>
      <c r="L231" s="11" t="inlineStr">
        <is>
          <t>Boiled Sweet Corn (120g) with lemon squeeze &amp; chaat masala [120 kcal, 4g P, 24g C, 1.5g F, ₹20] | Alt: Roasted Kadale / Chana (30g) + Warm Elaichi Green Tea [125 kcal, 6g P, 18g C, 2.5g F, ₹15]</t>
        </is>
      </c>
      <c r="M231" s="11" t="inlineStr">
        <is>
          <t>2 Soft Phulkas (75g) + Fresh Paneer Bhurji (90g paneer, capsicum, tomato) + Warm Tomato Rasam (150ml) [445 kcal, 21g P, 44g C, 19g F, ₹60]</t>
        </is>
      </c>
      <c r="N231" s="11" t="inlineStr">
        <is>
          <t>2 Ragi Rotis (130g) + Chicken Curry (90g cooked meat) + Onion Cucumber Raita (80g) [430 kcal, 30g P, 46g C, 11g F, ₹70]</t>
        </is>
      </c>
      <c r="O231" s="11" t="inlineStr">
        <is>
          <t>Moong Dal Vegetable Dalia Khichdi (220g) + Fresh Curd (100g) [390 kcal, 16g P, 54g C, 9g F, ₹35]</t>
        </is>
      </c>
      <c r="P231" s="11" t="inlineStr">
        <is>
          <t>Optional Pre: 2 Medjool dates [80 kcal] • Post: 1 boiled egg white or 100g warm milk [55 kcal, 4g P]</t>
        </is>
      </c>
      <c r="Q231" s="12" t="n">
        <v>1390</v>
      </c>
      <c r="R231" s="12" t="n">
        <v>63</v>
      </c>
      <c r="S231" s="12" t="n">
        <v>164</v>
      </c>
      <c r="T231" s="12" t="n">
        <v>50</v>
      </c>
      <c r="U231" s="12" t="n">
        <v>168</v>
      </c>
      <c r="V231" s="11" t="inlineStr">
        <is>
          <t>Rinse thick poha in colander, drain well. Sauté with onion, curry leaves, carrots &amp; roasted peanuts. Prick boiled eggs gently before simmering in gravy to absorb rich flavours.</t>
        </is>
      </c>
    </row>
    <row r="232" ht="36" customHeight="1">
      <c r="A232" s="7" t="inlineStr">
        <is>
          <t>2027-06-11</t>
        </is>
      </c>
      <c r="B232" s="7" t="n">
        <v>231</v>
      </c>
      <c r="C232" s="7" t="inlineStr">
        <is>
          <t>Friday</t>
        </is>
      </c>
      <c r="D232" s="8" t="inlineStr">
        <is>
          <t>Bengaluru Rava Upma &amp; Fresh Coastal Home Curry</t>
        </is>
      </c>
      <c r="E232" s="8" t="inlineStr">
        <is>
          <t>Bengaluru Vegetable Rava Upma (180g cooked) with roasted peanuts + 1 Boiled Egg [340 kcal, 14g P, 44g C, 12g F, ₹26]</t>
        </is>
      </c>
      <c r="F232" s="8" t="inlineStr">
        <is>
          <t>Vegetable Upma (180g) + 1 glass warm toned milk (150ml) [320 kcal, 11g P, 48g C, 9g F, ₹24]</t>
        </is>
      </c>
      <c r="G232" s="8" t="inlineStr">
        <is>
          <t>Steamed Idlis (3 pcs) with Mint Toor Dal Chutney (40g) + 1 Boiled Egg [320 kcal, 15g P, 42g C, 9g F, ₹28]</t>
        </is>
      </c>
      <c r="H232" s="8" t="inlineStr">
        <is>
          <t>Fresh Fruit Bowl (150g watermelon or papaya) + 6 soaked almonds [110 kcal, 3g P, 22g C, 3g F, ₹30] | Alt: Tender Coconut Water (220ml) [45 kcal, 1g P, 10g C, 0g F, ₹35]</t>
        </is>
      </c>
      <c r="I232" s="8" t="inlineStr">
        <is>
          <t>Sona Masoori Rice (150g cooked) + Bengaluru Fish Curry (120g fresh fish in light gravy) + Cabbage &amp; Pea Poriyal (130g) + Rasam [450 kcal, 33g P, 46g C, 13g F, ₹80]</t>
        </is>
      </c>
      <c r="J232" s="8" t="inlineStr">
        <is>
          <t>2 Phulkas (80g) + Chicken Curry (95g cooked meat) + Cucumber Carrot Salad (100g) [440 kcal, 31g P, 44g C, 13g F, ₹65]</t>
        </is>
      </c>
      <c r="K232" s="8" t="inlineStr">
        <is>
          <t>Rice (150g) + Thick Chana Dal (180g) + Beans Palya (130g) + Fresh Curd (100g) [470 kcal, 22g P, 56g C, 15g F, ₹45]</t>
        </is>
      </c>
      <c r="L232" s="8" t="inlineStr">
        <is>
          <t>Roasted Puri Kadale / Chana (30g) + Warm Ginger Tea (100ml low-fat milk) [140 kcal, 6g P, 20g C, 3.5g F, ₹18] | Alt: Spiced Boiled Moong Sprouts (80g) with lime &amp; salt [110 kcal, 7g P, 18g C, 1g F, ₹15]</t>
        </is>
      </c>
      <c r="M232" s="8" t="inlineStr">
        <is>
          <t>2 Soft Phulkas (75g) + Soya Chunks &amp; Green Pea Curry (45g dry soya + 50g peas) + Fresh Curd (80g) [420 kcal, 29g P, 48g C, 9g F, ₹40]</t>
        </is>
      </c>
      <c r="N232" s="8" t="inlineStr">
        <is>
          <t>2 Phulkas (75g) + 2 Boiled Eggs in Homestyle Curry (100g) + Sliced Cucumber [410 kcal, 21g P, 42g C, 15g F, ₹38]</t>
        </is>
      </c>
      <c r="O232" s="8" t="inlineStr">
        <is>
          <t>2 Ragi Rotis (120g) + Mixed Vegetable Sambar (180ml) + Sautéed Palak (100g) [380 kcal, 14g P, 54g C, 8g F, ₹30]</t>
        </is>
      </c>
      <c r="P232" s="8" t="inlineStr">
        <is>
          <t>Optional Pre: 1 cup tender coconut water [45 kcal] • Post: 1 glass warm milk (150ml) [85 kcal, 5g P]</t>
        </is>
      </c>
      <c r="Q232" s="9" t="n">
        <v>1460</v>
      </c>
      <c r="R232" s="9" t="n">
        <v>85</v>
      </c>
      <c r="S232" s="9" t="n">
        <v>180</v>
      </c>
      <c r="T232" s="9" t="n">
        <v>40.5</v>
      </c>
      <c r="U232" s="9" t="n">
        <v>194</v>
      </c>
      <c r="V232" s="8" t="inlineStr">
        <is>
          <t>Dry roast semolina lightly. Tempered with mustard seeds, chana dal, green chillies &amp; mixed veggies. Use fresh local fish cuts (rohu, pomfret, or seer fish). Simmer gently for 8 mins.</t>
        </is>
      </c>
    </row>
    <row r="233" ht="36" customHeight="1">
      <c r="A233" s="10" t="inlineStr">
        <is>
          <t>2027-06-12</t>
        </is>
      </c>
      <c r="B233" s="10" t="n">
        <v>232</v>
      </c>
      <c r="C233" s="10" t="inlineStr">
        <is>
          <t>Saturday</t>
        </is>
      </c>
      <c r="D233" s="11" t="inlineStr">
        <is>
          <t>Nourishing Rolled Oats &amp; Tender Chicken Palya</t>
        </is>
      </c>
      <c r="E233" s="11" t="inlineStr">
        <is>
          <t>Warm Rolled Oats (40g dry + 180ml toned milk) + 1 Boiled Egg + Apple slices (50g) [345 kcal, 18g P, 46g C, 10g F, ₹35]</t>
        </is>
      </c>
      <c r="F233" s="11" t="inlineStr">
        <is>
          <t>Vegetable Poha (160g cooked) + 2 Boiled Eggs [360 kcal, 18g P, 42g C, 14g F, ₹32]</t>
        </is>
      </c>
      <c r="G233" s="11" t="inlineStr">
        <is>
          <t>2 Plain Dosas (120g) + Toor Dal Sambar (150ml) + 1 cup warm sprouted moong [330 kcal, 14g P, 48g C, 7g F, ₹25]</t>
        </is>
      </c>
      <c r="H233" s="11" t="inlineStr">
        <is>
          <t>Tender Coconut Water (220ml) + 5 Soaked Almonds [95 kcal, 3g P, 12g C, 4g F, ₹40] | Alt: Fresh Spiced Buttermilk (220ml) with coriander &amp; rock salt [45 kcal, 3g P, 4g C, 1.5g F, ₹15]</t>
        </is>
      </c>
      <c r="I233" s="11" t="inlineStr">
        <is>
          <t>Sona Masoori Rice (150g cooked) + Tender Chicken Curry (130g raw / 95g meat) + Palak (Spinach) Palya (140g) + Rasam [470 kcal, 35g P, 46g C, 13g F, ₹75]</t>
        </is>
      </c>
      <c r="J233" s="11" t="inlineStr">
        <is>
          <t>2 Soft Phulkas (80g) + Fresh Paneer Curry (85g paneer in light gravy) + French Beans Palya (120g) [450 kcal, 21g P, 44g C, 19g F, ₹55]</t>
        </is>
      </c>
      <c r="K233" s="11" t="inlineStr">
        <is>
          <t>Rice (150g) + Toor Dal Tadka (180g) + 2 Boiled Eggs + Beetroot Poriyal (120g) [460 kcal, 25g P, 52g C, 14g F, ₹42]</t>
        </is>
      </c>
      <c r="L233" s="11" t="inlineStr">
        <is>
          <t>Roasted Makhana (30g) + Hot Green Tea with lemon [130 kcal, 3g P, 21g C, 3.5g F, ₹25] | Alt: Boiled Chickpeas Sundal (70g) with mustard &amp; curry leaves [125 kcal, 6g P, 20g C, 2.5g F, ₹18]</t>
        </is>
      </c>
      <c r="M233" s="11" t="inlineStr">
        <is>
          <t>2 Soft Phulkas (75g) + 2 Boiled Eggs in Tomato Onion Curry + Cucumber Salad (100g) [415 kcal, 21g P, 42g C, 15g F, ₹38]</t>
        </is>
      </c>
      <c r="N233" s="11" t="inlineStr">
        <is>
          <t>2 Phulkas (75g) + Grilled Chicken Strips (100g cooked) + Mixed Sautéed Capsicum &amp; Onions [425 kcal, 32g P, 40g C, 11g F, ₹65]</t>
        </is>
      </c>
      <c r="O233" s="11" t="inlineStr">
        <is>
          <t>Warm Moong Dal Vegetable Khichdi (220g) + Fresh Curd (100g) [380 kcal, 15g P, 56g C, 8g F, ₹35]</t>
        </is>
      </c>
      <c r="P233" s="11" t="inlineStr">
        <is>
          <t>Optional Pre: 1 small banana [70 kcal] • Post: 1 cup warm turmeric milk [90 kcal, 6g P]</t>
        </is>
      </c>
      <c r="Q233" s="12" t="n">
        <v>1455</v>
      </c>
      <c r="R233" s="12" t="n">
        <v>80</v>
      </c>
      <c r="S233" s="12" t="n">
        <v>167</v>
      </c>
      <c r="T233" s="12" t="n">
        <v>45.5</v>
      </c>
      <c r="U233" s="12" t="n">
        <v>213</v>
      </c>
      <c r="V233" s="11" t="inlineStr">
        <is>
          <t>Cook oats in milk for 4 mins on medium flame. Stir in pinch of cinnamon powder. Weigh raw boneless chicken (130g). Steam spinach lightly with mustard tempering.</t>
        </is>
      </c>
    </row>
    <row r="234" ht="36" customHeight="1">
      <c r="A234" s="7" t="inlineStr">
        <is>
          <t>2027-06-13</t>
        </is>
      </c>
      <c r="B234" s="7" t="n">
        <v>233</v>
      </c>
      <c r="C234" s="7" t="inlineStr">
        <is>
          <t>Sunday</t>
        </is>
      </c>
      <c r="D234" s="8" t="inlineStr">
        <is>
          <t>Calcium-Rich Ragi Dosa &amp; Fresh Country Egg Feast</t>
        </is>
      </c>
      <c r="E234" s="8" t="inlineStr">
        <is>
          <t>Ragi Dosa (2 medium, 120g) + Coconut Mint Chutney (30g) + 2 Boiled Eggs [350 kcal, 19g P, 40g C, 13g F, ₹35]</t>
        </is>
      </c>
      <c r="F234" s="8" t="inlineStr">
        <is>
          <t>Steamed Idlis (3 pcs, 110g) + Vegetable Sambar (150ml) + 1 Boiled Egg [310 kcal, 13g P, 44g C, 8g F, ₹25]</t>
        </is>
      </c>
      <c r="G234" s="8" t="inlineStr">
        <is>
          <t>Vegetable Upma (180g) + Warm Toned Milk (150ml) [320 kcal, 11g P, 48g C, 9g F, ₹22]</t>
        </is>
      </c>
      <c r="H234" s="8" t="inlineStr">
        <is>
          <t>Fresh Seasonal Fruit (1 Medium Apple or 150g Papaya) + 6 Almonds [115 kcal, 3g P, 22g C, 3.5g F, ₹30] | Alt: Tender Coconut Water (220ml) [45 kcal, 1g P, 10g C, 0g F, ₹35]</t>
        </is>
      </c>
      <c r="I234" s="8" t="inlineStr">
        <is>
          <t>2 Soft Phulkas (80g) + Homestyle Egg Curry (2 eggs) + Cabbage &amp; Carrot Poriyal (140g) + Rasam [445 kcal, 22g P, 48g C, 16g F, ₹42]</t>
        </is>
      </c>
      <c r="J234" s="8" t="inlineStr">
        <is>
          <t>Sona Masoori Rice (150g) + Bengaluru Chicken Curry (95g meat) + Beans Palya (120g) [475 kcal, 34g P, 48g C, 14g F, ₹75]</t>
        </is>
      </c>
      <c r="K234" s="8" t="inlineStr">
        <is>
          <t>Rice (150g) + Thick Toor Dal Tadka (180g) + Fresh Curd (100g) + Tomato Cucumber Salad [440 kcal, 18g P, 56g C, 14g F, ₹40]</t>
        </is>
      </c>
      <c r="L234" s="8" t="inlineStr">
        <is>
          <t>Spiced Boiled Sundal / Chickpeas (80g) with lime [140 kcal, 7g P, 22g C, 3g F, ₹20] | Alt: Roasted Makhana (30g) in 1/2 tsp ghee &amp; rock salt [130 kcal, 3g P, 21g C, 3.5g F, ₹25]</t>
        </is>
      </c>
      <c r="M234" s="8" t="inlineStr">
        <is>
          <t>2 Soft Phulkas (75g) + Home Chicken Curry (100g meat) + Cucumber Salad (100g) [420 kcal, 31g P, 42g C, 12g F, ₹65]</t>
        </is>
      </c>
      <c r="N234" s="8" t="inlineStr">
        <is>
          <t>2 Phulkas (75g) + Fresh Paneer Bhurji (90g paneer, capsicum, onion) + Clear Soup [440 kcal, 20g P, 42g C, 20g F, ₹55]</t>
        </is>
      </c>
      <c r="O234" s="8" t="inlineStr">
        <is>
          <t>Rice-Moong Dal Khichdi (220g) + Curd (100g) + Lauki Sabzi (120g) [385 kcal, 14g P, 58g C, 8.5g F, ₹35]</t>
        </is>
      </c>
      <c r="P234" s="8" t="inlineStr">
        <is>
          <t>Optional Pre: 1 cup tender coconut water [45 kcal] • Post: 1 glass warm milk (150ml) [85 kcal, 5g P]</t>
        </is>
      </c>
      <c r="Q234" s="9" t="n">
        <v>1470</v>
      </c>
      <c r="R234" s="9" t="n">
        <v>82</v>
      </c>
      <c r="S234" s="9" t="n">
        <v>174</v>
      </c>
      <c r="T234" s="9" t="n">
        <v>47.5</v>
      </c>
      <c r="U234" s="9" t="n">
        <v>192</v>
      </c>
      <c r="V234" s="8" t="inlineStr">
        <is>
          <t>Mix ragi flour with equal water, pinch of salt, cumin seeds &amp; chopped onion. Pour on medium hot tawa. Cook vegetables in minimum oil with mustard seeds, curry leaves &amp; grated fresh coconut.</t>
        </is>
      </c>
    </row>
    <row r="235" ht="36" customHeight="1">
      <c r="A235" s="10" t="inlineStr">
        <is>
          <t>2027-06-14</t>
        </is>
      </c>
      <c r="B235" s="10" t="n">
        <v>234</v>
      </c>
      <c r="C235" s="10" t="inlineStr">
        <is>
          <t>Monday</t>
        </is>
      </c>
      <c r="D235" s="11" t="inlineStr">
        <is>
          <t>High-Fiber Soya Chunks &amp; Comfort Idli Sambar</t>
        </is>
      </c>
      <c r="E235" s="11" t="inlineStr">
        <is>
          <t>Steamed Idlis (3 pcs, 110g) + Vegetable Sambar (150ml) + 2 Boiled Eggs [340 kcal, 19g P, 38g C, 12g F, ₹35]</t>
        </is>
      </c>
      <c r="F235" s="11" t="inlineStr">
        <is>
          <t>Vegetable Poha (160g cooked) + 1 Boiled Egg [310 kcal, 12g P, 44g C, 9g F, ₹26]</t>
        </is>
      </c>
      <c r="G235" s="11" t="inlineStr">
        <is>
          <t>Rolled Oats cooked in toned milk (40g + 180ml milk) with 1/2 apple [290 kcal, 12g P, 45g C, 6g F, ₹30]</t>
        </is>
      </c>
      <c r="H235" s="11" t="inlineStr">
        <is>
          <t>Spiced Buttermilk / Majjige (220ml) with curry leaves &amp; ginger [45 kcal, 3g P, 4g C, 1.5g F, ₹15] | Alt: Fresh Papaya slices (150g) + 5 almonds [110 kcal, 3g P, 22g C, 3g F, ₹28]</t>
        </is>
      </c>
      <c r="I235" s="11" t="inlineStr">
        <is>
          <t>Sona Masoori Rice (150g cooked) + Soya Chunks Curry (45g dry soya chunks cooked in onion-tomato gravy) + French Beans Palya (130g) + Rasam [460 kcal, 31g P, 56g C, 9g F, ₹42]</t>
        </is>
      </c>
      <c r="J235" s="11" t="inlineStr">
        <is>
          <t>2 Phulkas (80g) + Chicken Curry (95g meat) + Cabbage Poriyal (120g) [440 kcal, 31g P, 44g C, 13g F, ₹65]</t>
        </is>
      </c>
      <c r="K235" s="11" t="inlineStr">
        <is>
          <t>Rice (150g) + Thick Toor Dal (180g) + 2 Boiled Eggs + Ridge Gourd Palya (120g) [455 kcal, 24g P, 52g C, 14g F, ₹40]</t>
        </is>
      </c>
      <c r="L235" s="11" t="inlineStr">
        <is>
          <t>Roasted Kadale / Chana (30g) + Hot Elaichi Tea (100ml milk) [140 kcal, 6g P, 20g C, 3.5g F, ₹18] | Alt: Roasted Makhana (30g) in ghee &amp; rock salt [130 kcal, 3g P, 21g C, 3.5g F, ₹25]</t>
        </is>
      </c>
      <c r="M235" s="11" t="inlineStr">
        <is>
          <t>2 Soft Phulkas (75g) + 2 Boiled Eggs in Mild Curry + Cucumber Carrot Salad (120g) [415 kcal, 21g P, 42g C, 15g F, ₹38]</t>
        </is>
      </c>
      <c r="N235" s="11" t="inlineStr">
        <is>
          <t>2 Phulkas (75g) + Paneer Bhurji (90g paneer, capsicum, tomato) + Warm Soup [445 kcal, 20g P, 44g C, 19g F, ₹58]</t>
        </is>
      </c>
      <c r="O235" s="11" t="inlineStr">
        <is>
          <t>2 Ragi Rotis (120g) + Chicken Curry (90g meat) + Cucumber Slices [425 kcal, 30g P, 46g C, 11g F, ₹68]</t>
        </is>
      </c>
      <c r="P235" s="11" t="inlineStr">
        <is>
          <t>Optional Pre: 1 small banana [70 kcal] • Post: 1 glass warm milk [90 kcal, 6g P]</t>
        </is>
      </c>
      <c r="Q235" s="12" t="n">
        <v>1400</v>
      </c>
      <c r="R235" s="12" t="n">
        <v>80</v>
      </c>
      <c r="S235" s="12" t="n">
        <v>160</v>
      </c>
      <c r="T235" s="12" t="n">
        <v>41</v>
      </c>
      <c r="U235" s="12" t="n">
        <v>151</v>
      </c>
      <c r="V235" s="11" t="inlineStr">
        <is>
          <t>Dip idlis in piping hot sambar. Eggs provide complete amino acid profile. Soak soya chunks in warm water for 15 mins. Squeeze out bitter water completely before cooking.</t>
        </is>
      </c>
    </row>
    <row r="236" ht="36" customHeight="1">
      <c r="A236" s="7" t="inlineStr">
        <is>
          <t>2027-06-15</t>
        </is>
      </c>
      <c r="B236" s="7" t="n">
        <v>235</v>
      </c>
      <c r="C236" s="7" t="inlineStr">
        <is>
          <t>Tuesday</t>
        </is>
      </c>
      <c r="D236" s="8" t="inlineStr">
        <is>
          <t>Comfort Steamed Staples &amp; Bengaluru Chicken Curry</t>
        </is>
      </c>
      <c r="E236" s="8" t="inlineStr">
        <is>
          <t>Steamed Idlis (3 pcs, 110g) + Veg Sambar (150ml) + 2 Boiled Eggs (100g) [340 kcal, 19g P, 38g C, 12g F, ₹35]</t>
        </is>
      </c>
      <c r="F236" s="8" t="inlineStr">
        <is>
          <t>Steamed Idlis (3 pcs) + Veg Sambar + 1 cup warm sprouted moong salad (100g) [310 kcal, 13g P, 46g C, 5g F, ₹25]</t>
        </is>
      </c>
      <c r="G236" s="8" t="inlineStr">
        <is>
          <t>Ragi Dosa (2 medium, 120g) + Mint Chutney (30g) + 1 Boiled Egg [320 kcal, 14g P, 42g C, 11g F, ₹28]</t>
        </is>
      </c>
      <c r="H236" s="8" t="inlineStr">
        <is>
          <t>Tender Coconut Water (220ml) + Handful Roasted Chana (25g) [130 kcal, 5g P, 22g C, 2g F, ₹40] | Alt: Fresh Papaya slices (150g) + 5 soaked almonds [110 kcal, 3g P, 22g C, 3g F, ₹30]</t>
        </is>
      </c>
      <c r="I236" s="8" t="inlineStr">
        <is>
          <t>Sona Masoori Rice (150g cooked / 55g raw) + Bengaluru Chicken Curry (130g raw / 95g cooked meat) + French Beans Palya (130g) + Pepper Rasam [475 kcal, 34g P, 48g C, 14g F, ₹75]</t>
        </is>
      </c>
      <c r="J236" s="8" t="inlineStr">
        <is>
          <t>2 Soft Wheat Phulkas (80g) + Homestyle Egg Curry (2 eggs in onion-tomato gravy) + Cabbage Poriyal (140g) [440 kcal, 21g P, 48g C, 16g F, ₹40]</t>
        </is>
      </c>
      <c r="K236" s="8" t="inlineStr">
        <is>
          <t>Sona Masoori Rice (150g) + Thick Toor Dal Tadka (180g) + Paneer Palya (80g paneer) + Fresh Curd (100g) [480 kcal, 23g P, 54g C, 18g F, ₹55]</t>
        </is>
      </c>
      <c r="L236" s="8" t="inlineStr">
        <is>
          <t>Spiced Boiled Sundal / Chickpeas (80g) with mustard tempering &amp; lemon [140 kcal, 7g P, 22g C, 3g F, ₹20] | Alt: Roasted Makhana (30g) in 1/2 tsp ghee &amp; rock salt [130 kcal, 3g P, 21g C, 3.5g F, ₹25]</t>
        </is>
      </c>
      <c r="M236" s="8" t="inlineStr">
        <is>
          <t>2 Soft Whole Wheat Phulkas (75g) + Grilled/Pan Chicken Curry (100g meat) + Cucumber Tomato Salad (120g) [420 kcal, 31g P, 42g C, 12g F, ₹65]</t>
        </is>
      </c>
      <c r="N236" s="8" t="inlineStr">
        <is>
          <t>2 Phulkas (75g) + Fresh Paneer Bhurji (90g paneer with capsicum &amp; onion) + Tomato Clear Soup [440 kcal, 20g P, 42g C, 20g F, ₹55]</t>
        </is>
      </c>
      <c r="O236" s="8" t="inlineStr">
        <is>
          <t>Warm Rice-Moong Dal Khichdi (220g) + Fresh Curd (100g) + Steamed Beetroot Poriyal (100g) [380 kcal, 14g P, 58g C, 8g F, ₹35]</t>
        </is>
      </c>
      <c r="P236" s="8" t="inlineStr">
        <is>
          <t>Optional Pre: 1 small banana (80g) [70 kcal] • Post: 1 glass warm toned milk with turmeric (180ml) [95 kcal, 6g P]</t>
        </is>
      </c>
      <c r="Q236" s="9" t="n">
        <v>1505</v>
      </c>
      <c r="R236" s="9" t="n">
        <v>96</v>
      </c>
      <c r="S236" s="9" t="n">
        <v>172</v>
      </c>
      <c r="T236" s="9" t="n">
        <v>43</v>
      </c>
      <c r="U236" s="9" t="n">
        <v>235</v>
      </c>
      <c r="V236" s="8" t="inlineStr">
        <is>
          <t>Steam idlis in idli cooker for 10-12 mins. Weigh 110g cooked on kitchen scale. Zero plate on scale, measure 150g warm rice, then add 95g cooked chicken meat without bones.</t>
        </is>
      </c>
    </row>
    <row r="237" ht="36" customHeight="1">
      <c r="A237" s="10" t="inlineStr">
        <is>
          <t>2027-06-16</t>
        </is>
      </c>
      <c r="B237" s="10" t="n">
        <v>236</v>
      </c>
      <c r="C237" s="10" t="inlineStr">
        <is>
          <t>Wednesday</t>
        </is>
      </c>
      <c r="D237" s="11" t="inlineStr">
        <is>
          <t>Iron-Rich Poha, Egg Curry &amp; Golden Turmeric Phulkas</t>
        </is>
      </c>
      <c r="E237" s="11" t="inlineStr">
        <is>
          <t>Vegetable Poha (160g cooked) tempered with mustard &amp; roasted peanuts (15g) + 1 Boiled Egg [330 kcal, 13g P, 44g C, 11g F, ₹28]</t>
        </is>
      </c>
      <c r="F237" s="11" t="inlineStr">
        <is>
          <t>Vegetable Poha (180g) + 1 glass warm toned milk (150ml) [310 kcal, 11g P, 48g C, 8g F, ₹24]</t>
        </is>
      </c>
      <c r="G237" s="11" t="inlineStr">
        <is>
          <t>Rolled Oats cooked in milk (40g oats + 180ml toned milk) with half diced apple [290 kcal, 12g P, 45g C, 6g F, ₹30]</t>
        </is>
      </c>
      <c r="H237" s="11" t="inlineStr">
        <is>
          <t>Spiced Majjige / Buttermilk (220ml) with grated ginger &amp; curry leaves [45 kcal, 3g P, 4g C, 1.5g F, ₹15] | Alt: 1 Crisp Guava or Apple (130g) with pinch of rock salt [75 kcal, 1.5g P, 18g C, 0.5g F, ₹20]</t>
        </is>
      </c>
      <c r="I237" s="11" t="inlineStr">
        <is>
          <t>2 Soft Phulkas (80g) + 2 Boiled Eggs in Onion-Tomato Gravy (120g gravy) + Ridge Gourd (Heerekayi) Palya (140g) [450 kcal, 22g P, 48g C, 17g F, ₹45]</t>
        </is>
      </c>
      <c r="J237" s="11" t="inlineStr">
        <is>
          <t>Sona Masoori Rice (150g) + Fish Curry (120g rohu/pomfret in light coconut gravy) + Beans Poriyal (120g) [460 kcal, 32g P, 46g C, 13g F, ₹80]</t>
        </is>
      </c>
      <c r="K237" s="11" t="inlineStr">
        <is>
          <t>Cooked Rice (150g) + Mixed Vegetable Sambar (180g) + Pan-seared Tofu or Paneer (80g) + Cucumber Slices [465 kcal, 21g P, 52g C, 17g F, ₹55]</t>
        </is>
      </c>
      <c r="L237" s="11" t="inlineStr">
        <is>
          <t>Boiled Sweet Corn (120g) with lemon squeeze &amp; chaat masala [120 kcal, 4g P, 24g C, 1.5g F, ₹20] | Alt: Roasted Kadale / Chana (30g) + Warm Elaichi Green Tea [125 kcal, 6g P, 18g C, 2.5g F, ₹15]</t>
        </is>
      </c>
      <c r="M237" s="11" t="inlineStr">
        <is>
          <t>2 Soft Phulkas (75g) + Fresh Paneer Bhurji (90g paneer, capsicum, tomato) + Warm Tomato Rasam (150ml) [445 kcal, 21g P, 44g C, 19g F, ₹60]</t>
        </is>
      </c>
      <c r="N237" s="11" t="inlineStr">
        <is>
          <t>2 Ragi Rotis (130g) + Chicken Curry (90g cooked meat) + Onion Cucumber Raita (80g) [430 kcal, 30g P, 46g C, 11g F, ₹70]</t>
        </is>
      </c>
      <c r="O237" s="11" t="inlineStr">
        <is>
          <t>Moong Dal Vegetable Dalia Khichdi (220g) + Fresh Curd (100g) [390 kcal, 16g P, 54g C, 9g F, ₹35]</t>
        </is>
      </c>
      <c r="P237" s="11" t="inlineStr">
        <is>
          <t>Optional Pre: 2 Medjool dates [80 kcal] • Post: 1 boiled egg white or 100g warm milk [55 kcal, 4g P]</t>
        </is>
      </c>
      <c r="Q237" s="12" t="n">
        <v>1390</v>
      </c>
      <c r="R237" s="12" t="n">
        <v>63</v>
      </c>
      <c r="S237" s="12" t="n">
        <v>164</v>
      </c>
      <c r="T237" s="12" t="n">
        <v>50</v>
      </c>
      <c r="U237" s="12" t="n">
        <v>168</v>
      </c>
      <c r="V237" s="11" t="inlineStr">
        <is>
          <t>Rinse thick poha in colander, drain well. Sauté with onion, curry leaves, carrots &amp; roasted peanuts. Prick boiled eggs gently before simmering in gravy to absorb rich flavours.</t>
        </is>
      </c>
    </row>
    <row r="238" ht="36" customHeight="1">
      <c r="A238" s="7" t="inlineStr">
        <is>
          <t>2027-06-17</t>
        </is>
      </c>
      <c r="B238" s="7" t="n">
        <v>237</v>
      </c>
      <c r="C238" s="7" t="inlineStr">
        <is>
          <t>Thursday</t>
        </is>
      </c>
      <c r="D238" s="8" t="inlineStr">
        <is>
          <t>Bengaluru Rava Upma &amp; Fresh Coastal Home Curry</t>
        </is>
      </c>
      <c r="E238" s="8" t="inlineStr">
        <is>
          <t>Bengaluru Vegetable Rava Upma (180g cooked) with roasted peanuts + 1 Boiled Egg [340 kcal, 14g P, 44g C, 12g F, ₹26]</t>
        </is>
      </c>
      <c r="F238" s="8" t="inlineStr">
        <is>
          <t>Vegetable Upma (180g) + 1 glass warm toned milk (150ml) [320 kcal, 11g P, 48g C, 9g F, ₹24]</t>
        </is>
      </c>
      <c r="G238" s="8" t="inlineStr">
        <is>
          <t>Steamed Idlis (3 pcs) with Mint Toor Dal Chutney (40g) + 1 Boiled Egg [320 kcal, 15g P, 42g C, 9g F, ₹28]</t>
        </is>
      </c>
      <c r="H238" s="8" t="inlineStr">
        <is>
          <t>Fresh Fruit Bowl (150g watermelon or papaya) + 6 soaked almonds [110 kcal, 3g P, 22g C, 3g F, ₹30] | Alt: Tender Coconut Water (220ml) [45 kcal, 1g P, 10g C, 0g F, ₹35]</t>
        </is>
      </c>
      <c r="I238" s="8" t="inlineStr">
        <is>
          <t>Sona Masoori Rice (150g cooked) + Bengaluru Fish Curry (120g fresh fish in light gravy) + Cabbage &amp; Pea Poriyal (130g) + Rasam [450 kcal, 33g P, 46g C, 13g F, ₹80]</t>
        </is>
      </c>
      <c r="J238" s="8" t="inlineStr">
        <is>
          <t>2 Phulkas (80g) + Chicken Curry (95g cooked meat) + Cucumber Carrot Salad (100g) [440 kcal, 31g P, 44g C, 13g F, ₹65]</t>
        </is>
      </c>
      <c r="K238" s="8" t="inlineStr">
        <is>
          <t>Rice (150g) + Thick Chana Dal (180g) + Beans Palya (130g) + Fresh Curd (100g) [470 kcal, 22g P, 56g C, 15g F, ₹45]</t>
        </is>
      </c>
      <c r="L238" s="8" t="inlineStr">
        <is>
          <t>Roasted Puri Kadale / Chana (30g) + Warm Ginger Tea (100ml low-fat milk) [140 kcal, 6g P, 20g C, 3.5g F, ₹18] | Alt: Spiced Boiled Moong Sprouts (80g) with lime &amp; salt [110 kcal, 7g P, 18g C, 1g F, ₹15]</t>
        </is>
      </c>
      <c r="M238" s="8" t="inlineStr">
        <is>
          <t>2 Soft Phulkas (75g) + Soya Chunks &amp; Green Pea Curry (45g dry soya + 50g peas) + Fresh Curd (80g) [420 kcal, 29g P, 48g C, 9g F, ₹40]</t>
        </is>
      </c>
      <c r="N238" s="8" t="inlineStr">
        <is>
          <t>2 Phulkas (75g) + 2 Boiled Eggs in Homestyle Curry (100g) + Sliced Cucumber [410 kcal, 21g P, 42g C, 15g F, ₹38]</t>
        </is>
      </c>
      <c r="O238" s="8" t="inlineStr">
        <is>
          <t>2 Ragi Rotis (120g) + Mixed Vegetable Sambar (180ml) + Sautéed Palak (100g) [380 kcal, 14g P, 54g C, 8g F, ₹30]</t>
        </is>
      </c>
      <c r="P238" s="8" t="inlineStr">
        <is>
          <t>Optional Pre: 1 cup tender coconut water [45 kcal] • Post: 1 glass warm milk (150ml) [85 kcal, 5g P]</t>
        </is>
      </c>
      <c r="Q238" s="9" t="n">
        <v>1460</v>
      </c>
      <c r="R238" s="9" t="n">
        <v>85</v>
      </c>
      <c r="S238" s="9" t="n">
        <v>180</v>
      </c>
      <c r="T238" s="9" t="n">
        <v>40.5</v>
      </c>
      <c r="U238" s="9" t="n">
        <v>194</v>
      </c>
      <c r="V238" s="8" t="inlineStr">
        <is>
          <t>Dry roast semolina lightly. Tempered with mustard seeds, chana dal, green chillies &amp; mixed veggies. Use fresh local fish cuts (rohu, pomfret, or seer fish). Simmer gently for 8 mins.</t>
        </is>
      </c>
    </row>
    <row r="239" ht="36" customHeight="1">
      <c r="A239" s="10" t="inlineStr">
        <is>
          <t>2027-06-18</t>
        </is>
      </c>
      <c r="B239" s="10" t="n">
        <v>238</v>
      </c>
      <c r="C239" s="10" t="inlineStr">
        <is>
          <t>Friday</t>
        </is>
      </c>
      <c r="D239" s="11" t="inlineStr">
        <is>
          <t>Nourishing Rolled Oats &amp; Tender Chicken Palya</t>
        </is>
      </c>
      <c r="E239" s="11" t="inlineStr">
        <is>
          <t>Warm Rolled Oats (40g dry + 180ml toned milk) + 1 Boiled Egg + Apple slices (50g) [345 kcal, 18g P, 46g C, 10g F, ₹35]</t>
        </is>
      </c>
      <c r="F239" s="11" t="inlineStr">
        <is>
          <t>Vegetable Poha (160g cooked) + 2 Boiled Eggs [360 kcal, 18g P, 42g C, 14g F, ₹32]</t>
        </is>
      </c>
      <c r="G239" s="11" t="inlineStr">
        <is>
          <t>2 Plain Dosas (120g) + Toor Dal Sambar (150ml) + 1 cup warm sprouted moong [330 kcal, 14g P, 48g C, 7g F, ₹25]</t>
        </is>
      </c>
      <c r="H239" s="11" t="inlineStr">
        <is>
          <t>Tender Coconut Water (220ml) + 5 Soaked Almonds [95 kcal, 3g P, 12g C, 4g F, ₹40] | Alt: Fresh Spiced Buttermilk (220ml) with coriander &amp; rock salt [45 kcal, 3g P, 4g C, 1.5g F, ₹15]</t>
        </is>
      </c>
      <c r="I239" s="11" t="inlineStr">
        <is>
          <t>Sona Masoori Rice (150g cooked) + Tender Chicken Curry (130g raw / 95g meat) + Palak (Spinach) Palya (140g) + Rasam [470 kcal, 35g P, 46g C, 13g F, ₹75]</t>
        </is>
      </c>
      <c r="J239" s="11" t="inlineStr">
        <is>
          <t>2 Soft Phulkas (80g) + Fresh Paneer Curry (85g paneer in light gravy) + French Beans Palya (120g) [450 kcal, 21g P, 44g C, 19g F, ₹55]</t>
        </is>
      </c>
      <c r="K239" s="11" t="inlineStr">
        <is>
          <t>Rice (150g) + Toor Dal Tadka (180g) + 2 Boiled Eggs + Beetroot Poriyal (120g) [460 kcal, 25g P, 52g C, 14g F, ₹42]</t>
        </is>
      </c>
      <c r="L239" s="11" t="inlineStr">
        <is>
          <t>Roasted Makhana (30g) + Hot Green Tea with lemon [130 kcal, 3g P, 21g C, 3.5g F, ₹25] | Alt: Boiled Chickpeas Sundal (70g) with mustard &amp; curry leaves [125 kcal, 6g P, 20g C, 2.5g F, ₹18]</t>
        </is>
      </c>
      <c r="M239" s="11" t="inlineStr">
        <is>
          <t>2 Soft Phulkas (75g) + 2 Boiled Eggs in Tomato Onion Curry + Cucumber Salad (100g) [415 kcal, 21g P, 42g C, 15g F, ₹38]</t>
        </is>
      </c>
      <c r="N239" s="11" t="inlineStr">
        <is>
          <t>2 Phulkas (75g) + Grilled Chicken Strips (100g cooked) + Mixed Sautéed Capsicum &amp; Onions [425 kcal, 32g P, 40g C, 11g F, ₹65]</t>
        </is>
      </c>
      <c r="O239" s="11" t="inlineStr">
        <is>
          <t>Warm Moong Dal Vegetable Khichdi (220g) + Fresh Curd (100g) [380 kcal, 15g P, 56g C, 8g F, ₹35]</t>
        </is>
      </c>
      <c r="P239" s="11" t="inlineStr">
        <is>
          <t>Optional Pre: 1 small banana [70 kcal] • Post: 1 cup warm turmeric milk [90 kcal, 6g P]</t>
        </is>
      </c>
      <c r="Q239" s="12" t="n">
        <v>1455</v>
      </c>
      <c r="R239" s="12" t="n">
        <v>80</v>
      </c>
      <c r="S239" s="12" t="n">
        <v>167</v>
      </c>
      <c r="T239" s="12" t="n">
        <v>45.5</v>
      </c>
      <c r="U239" s="12" t="n">
        <v>213</v>
      </c>
      <c r="V239" s="11" t="inlineStr">
        <is>
          <t>Cook oats in milk for 4 mins on medium flame. Stir in pinch of cinnamon powder. Weigh raw boneless chicken (130g). Steam spinach lightly with mustard tempering.</t>
        </is>
      </c>
    </row>
    <row r="240" ht="36" customHeight="1">
      <c r="A240" s="7" t="inlineStr">
        <is>
          <t>2027-06-19</t>
        </is>
      </c>
      <c r="B240" s="7" t="n">
        <v>239</v>
      </c>
      <c r="C240" s="7" t="inlineStr">
        <is>
          <t>Saturday</t>
        </is>
      </c>
      <c r="D240" s="8" t="inlineStr">
        <is>
          <t>Calcium-Rich Ragi Dosa &amp; Fresh Country Egg Feast</t>
        </is>
      </c>
      <c r="E240" s="8" t="inlineStr">
        <is>
          <t>Ragi Dosa (2 medium, 120g) + Coconut Mint Chutney (30g) + 2 Boiled Eggs [350 kcal, 19g P, 40g C, 13g F, ₹35]</t>
        </is>
      </c>
      <c r="F240" s="8" t="inlineStr">
        <is>
          <t>Steamed Idlis (3 pcs, 110g) + Vegetable Sambar (150ml) + 1 Boiled Egg [310 kcal, 13g P, 44g C, 8g F, ₹25]</t>
        </is>
      </c>
      <c r="G240" s="8" t="inlineStr">
        <is>
          <t>Vegetable Upma (180g) + Warm Toned Milk (150ml) [320 kcal, 11g P, 48g C, 9g F, ₹22]</t>
        </is>
      </c>
      <c r="H240" s="8" t="inlineStr">
        <is>
          <t>Fresh Seasonal Fruit (1 Medium Apple or 150g Papaya) + 6 Almonds [115 kcal, 3g P, 22g C, 3.5g F, ₹30] | Alt: Tender Coconut Water (220ml) [45 kcal, 1g P, 10g C, 0g F, ₹35]</t>
        </is>
      </c>
      <c r="I240" s="8" t="inlineStr">
        <is>
          <t>2 Soft Phulkas (80g) + Homestyle Egg Curry (2 eggs) + Cabbage &amp; Carrot Poriyal (140g) + Rasam [445 kcal, 22g P, 48g C, 16g F, ₹42]</t>
        </is>
      </c>
      <c r="J240" s="8" t="inlineStr">
        <is>
          <t>Sona Masoori Rice (150g) + Bengaluru Chicken Curry (95g meat) + Beans Palya (120g) [475 kcal, 34g P, 48g C, 14g F, ₹75]</t>
        </is>
      </c>
      <c r="K240" s="8" t="inlineStr">
        <is>
          <t>Rice (150g) + Thick Toor Dal Tadka (180g) + Fresh Curd (100g) + Tomato Cucumber Salad [440 kcal, 18g P, 56g C, 14g F, ₹40]</t>
        </is>
      </c>
      <c r="L240" s="8" t="inlineStr">
        <is>
          <t>Spiced Boiled Sundal / Chickpeas (80g) with lime [140 kcal, 7g P, 22g C, 3g F, ₹20] | Alt: Roasted Makhana (30g) in 1/2 tsp ghee &amp; rock salt [130 kcal, 3g P, 21g C, 3.5g F, ₹25]</t>
        </is>
      </c>
      <c r="M240" s="8" t="inlineStr">
        <is>
          <t>2 Soft Phulkas (75g) + Home Chicken Curry (100g meat) + Cucumber Salad (100g) [420 kcal, 31g P, 42g C, 12g F, ₹65]</t>
        </is>
      </c>
      <c r="N240" s="8" t="inlineStr">
        <is>
          <t>2 Phulkas (75g) + Fresh Paneer Bhurji (90g paneer, capsicum, onion) + Clear Soup [440 kcal, 20g P, 42g C, 20g F, ₹55]</t>
        </is>
      </c>
      <c r="O240" s="8" t="inlineStr">
        <is>
          <t>Rice-Moong Dal Khichdi (220g) + Curd (100g) + Lauki Sabzi (120g) [385 kcal, 14g P, 58g C, 8.5g F, ₹35]</t>
        </is>
      </c>
      <c r="P240" s="8" t="inlineStr">
        <is>
          <t>Optional Pre: 1 cup tender coconut water [45 kcal] • Post: 1 glass warm milk (150ml) [85 kcal, 5g P]</t>
        </is>
      </c>
      <c r="Q240" s="9" t="n">
        <v>1470</v>
      </c>
      <c r="R240" s="9" t="n">
        <v>82</v>
      </c>
      <c r="S240" s="9" t="n">
        <v>174</v>
      </c>
      <c r="T240" s="9" t="n">
        <v>47.5</v>
      </c>
      <c r="U240" s="9" t="n">
        <v>192</v>
      </c>
      <c r="V240" s="8" t="inlineStr">
        <is>
          <t>Mix ragi flour with equal water, pinch of salt, cumin seeds &amp; chopped onion. Pour on medium hot tawa. Cook vegetables in minimum oil with mustard seeds, curry leaves &amp; grated fresh coconut.</t>
        </is>
      </c>
    </row>
    <row r="241" ht="36" customHeight="1">
      <c r="A241" s="10" t="inlineStr">
        <is>
          <t>2027-06-20</t>
        </is>
      </c>
      <c r="B241" s="10" t="n">
        <v>240</v>
      </c>
      <c r="C241" s="10" t="inlineStr">
        <is>
          <t>Sunday</t>
        </is>
      </c>
      <c r="D241" s="11" t="inlineStr">
        <is>
          <t>High-Fiber Soya Chunks &amp; Comfort Idli Sambar</t>
        </is>
      </c>
      <c r="E241" s="11" t="inlineStr">
        <is>
          <t>Steamed Idlis (3 pcs, 110g) + Vegetable Sambar (150ml) + 2 Boiled Eggs [340 kcal, 19g P, 38g C, 12g F, ₹35]</t>
        </is>
      </c>
      <c r="F241" s="11" t="inlineStr">
        <is>
          <t>Vegetable Poha (160g cooked) + 1 Boiled Egg [310 kcal, 12g P, 44g C, 9g F, ₹26]</t>
        </is>
      </c>
      <c r="G241" s="11" t="inlineStr">
        <is>
          <t>Rolled Oats cooked in toned milk (40g + 180ml milk) with 1/2 apple [290 kcal, 12g P, 45g C, 6g F, ₹30]</t>
        </is>
      </c>
      <c r="H241" s="11" t="inlineStr">
        <is>
          <t>Spiced Buttermilk / Majjige (220ml) with curry leaves &amp; ginger [45 kcal, 3g P, 4g C, 1.5g F, ₹15] | Alt: Fresh Papaya slices (150g) + 5 almonds [110 kcal, 3g P, 22g C, 3g F, ₹28]</t>
        </is>
      </c>
      <c r="I241" s="11" t="inlineStr">
        <is>
          <t>Sona Masoori Rice (150g cooked) + Soya Chunks Curry (45g dry soya chunks cooked in onion-tomato gravy) + French Beans Palya (130g) + Rasam [460 kcal, 31g P, 56g C, 9g F, ₹42]</t>
        </is>
      </c>
      <c r="J241" s="11" t="inlineStr">
        <is>
          <t>2 Phulkas (80g) + Chicken Curry (95g meat) + Cabbage Poriyal (120g) [440 kcal, 31g P, 44g C, 13g F, ₹65]</t>
        </is>
      </c>
      <c r="K241" s="11" t="inlineStr">
        <is>
          <t>Rice (150g) + Thick Toor Dal (180g) + 2 Boiled Eggs + Ridge Gourd Palya (120g) [455 kcal, 24g P, 52g C, 14g F, ₹40]</t>
        </is>
      </c>
      <c r="L241" s="11" t="inlineStr">
        <is>
          <t>Roasted Kadale / Chana (30g) + Hot Elaichi Tea (100ml milk) [140 kcal, 6g P, 20g C, 3.5g F, ₹18] | Alt: Roasted Makhana (30g) in ghee &amp; rock salt [130 kcal, 3g P, 21g C, 3.5g F, ₹25]</t>
        </is>
      </c>
      <c r="M241" s="11" t="inlineStr">
        <is>
          <t>2 Soft Phulkas (75g) + 2 Boiled Eggs in Mild Curry + Cucumber Carrot Salad (120g) [415 kcal, 21g P, 42g C, 15g F, ₹38]</t>
        </is>
      </c>
      <c r="N241" s="11" t="inlineStr">
        <is>
          <t>2 Phulkas (75g) + Paneer Bhurji (90g paneer, capsicum, tomato) + Warm Soup [445 kcal, 20g P, 44g C, 19g F, ₹58]</t>
        </is>
      </c>
      <c r="O241" s="11" t="inlineStr">
        <is>
          <t>2 Ragi Rotis (120g) + Chicken Curry (90g meat) + Cucumber Slices [425 kcal, 30g P, 46g C, 11g F, ₹68]</t>
        </is>
      </c>
      <c r="P241" s="11" t="inlineStr">
        <is>
          <t>Optional Pre: 1 small banana [70 kcal] • Post: 1 glass warm milk [90 kcal, 6g P]</t>
        </is>
      </c>
      <c r="Q241" s="12" t="n">
        <v>1400</v>
      </c>
      <c r="R241" s="12" t="n">
        <v>80</v>
      </c>
      <c r="S241" s="12" t="n">
        <v>160</v>
      </c>
      <c r="T241" s="12" t="n">
        <v>41</v>
      </c>
      <c r="U241" s="12" t="n">
        <v>151</v>
      </c>
      <c r="V241" s="11" t="inlineStr">
        <is>
          <t>Dip idlis in piping hot sambar. Eggs provide complete amino acid profile. Soak soya chunks in warm water for 15 mins. Squeeze out bitter water completely before cooking.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1"/>
  <sheetViews>
    <sheetView showGridLines="1" workbookViewId="0">
      <selection activeCell="A1" sqref="A1"/>
    </sheetView>
  </sheetViews>
  <sheetFormatPr baseColWidth="8" defaultRowHeight="15" outlineLevelCol="0"/>
  <cols>
    <col width="13" customWidth="1" min="1" max="1"/>
    <col width="13" customWidth="1" min="2" max="2"/>
    <col width="13" customWidth="1" min="3" max="3"/>
    <col width="18" customWidth="1" min="4" max="4"/>
    <col width="40" customWidth="1" min="5" max="5"/>
    <col width="18" customWidth="1" min="6" max="6"/>
    <col width="18" customWidth="1" min="7" max="7"/>
    <col width="24" customWidth="1" min="8" max="8"/>
    <col width="32" customWidth="1" min="9" max="9"/>
    <col width="32" customWidth="1" min="10" max="10"/>
    <col width="32" customWidth="1" min="11" max="11"/>
    <col width="32" customWidth="1" min="12" max="12"/>
    <col width="38" customWidth="1" min="13" max="13"/>
  </cols>
  <sheetData>
    <row r="1" ht="28" customHeight="1">
      <c r="A1" s="6" t="inlineStr">
        <is>
          <t>Date</t>
        </is>
      </c>
      <c r="B1" s="6" t="inlineStr">
        <is>
          <t>Day #</t>
        </is>
      </c>
      <c r="C1" s="6" t="inlineStr">
        <is>
          <t>Day of Week</t>
        </is>
      </c>
      <c r="D1" s="6" t="inlineStr">
        <is>
          <t>Session Type</t>
        </is>
      </c>
      <c r="E1" s="6" t="inlineStr">
        <is>
          <t>Zumba Routine / Rest Title</t>
        </is>
      </c>
      <c r="F1" s="6" t="inlineStr">
        <is>
          <t>Duration (Mins)</t>
        </is>
      </c>
      <c r="G1" s="6" t="inlineStr">
        <is>
          <t>Estimated Burn (kcal)</t>
        </is>
      </c>
      <c r="H1" s="6" t="inlineStr">
        <is>
          <t>Dance Style</t>
        </is>
      </c>
      <c r="I1" s="6" t="inlineStr">
        <is>
          <t>Warm-up &amp; Instructions</t>
        </is>
      </c>
      <c r="J1" s="6" t="inlineStr">
        <is>
          <t>Main Dance Steps / Flow</t>
        </is>
      </c>
      <c r="K1" s="6" t="inlineStr">
        <is>
          <t>Cool-down &amp; Breathing</t>
        </is>
      </c>
      <c r="L1" s="6" t="inlineStr">
        <is>
          <t>Low-Impact / Chair Modifications</t>
        </is>
      </c>
      <c r="M1" s="6" t="inlineStr">
        <is>
          <t>Verified YouTube Zumba Link</t>
        </is>
      </c>
    </row>
    <row r="2" ht="32" customHeight="1">
      <c r="A2" s="10" t="inlineStr">
        <is>
          <t>2026-10-24</t>
        </is>
      </c>
      <c r="B2" s="10" t="n">
        <v>1</v>
      </c>
      <c r="C2" s="10" t="inlineStr">
        <is>
          <t>Saturday</t>
        </is>
      </c>
      <c r="D2" s="13" t="inlineStr">
        <is>
          <t>REST DAY</t>
        </is>
      </c>
      <c r="E2" s="11" t="inlineStr">
        <is>
          <t>REST DAY — Rest, Recover &amp; Nourish ❤️</t>
        </is>
      </c>
      <c r="F2" s="12" t="n">
        <v>0</v>
      </c>
      <c r="G2" s="12" t="n">
        <v>0</v>
      </c>
      <c r="H2" s="11" t="inlineStr">
        <is>
          <t>Restorative Rest</t>
        </is>
      </c>
      <c r="I2" s="11" t="inlineStr">
        <is>
          <t>Day 1 of Journey &amp; Period Care — Honoring your body with warm rest &amp; gentle self-care ❤️</t>
        </is>
      </c>
      <c r="J2" s="11" t="inlineStr">
        <is>
          <t>Zero workout assigned. Rest is 100% productive and honored. Keep hydration &amp; comfortable meals.</t>
        </is>
      </c>
      <c r="K2" s="11" t="inlineStr">
        <is>
          <t>Hand on heart, deep peaceful breathing, soothing chamomile or warm water.</t>
        </is>
      </c>
      <c r="L2" s="11" t="inlineStr">
        <is>
          <t>Optional gentle stroll around room if desired, never mandatory.</t>
        </is>
      </c>
      <c r="M2" s="11" t="inlineStr">
        <is>
          <t>N/A (Scheduled Rest Day)</t>
        </is>
      </c>
    </row>
    <row r="3" ht="32" customHeight="1">
      <c r="A3" s="10" t="inlineStr">
        <is>
          <t>2026-10-25</t>
        </is>
      </c>
      <c r="B3" s="10" t="n">
        <v>2</v>
      </c>
      <c r="C3" s="10" t="inlineStr">
        <is>
          <t>Sunday</t>
        </is>
      </c>
      <c r="D3" s="14" t="inlineStr">
        <is>
          <t>ZUMBA SESSION</t>
        </is>
      </c>
      <c r="E3" s="11" t="inlineStr">
        <is>
          <t>12-Min Gentle Slow Dance &amp; Pelvic Sway (Restorative Flow)</t>
        </is>
      </c>
      <c r="F3" s="12" t="n">
        <v>12</v>
      </c>
      <c r="G3" s="12" t="n">
        <v>55</v>
      </c>
      <c r="H3" s="11" t="inlineStr">
        <is>
          <t>Restorative Slow Dance</t>
        </is>
      </c>
      <c r="I3" s="11" t="inlineStr">
        <is>
          <t>2 minutes deep belly breaths sitting or standing softly. Ultra-gentle soothing music. Slow hip sways that relieve pelvic tension, lower back stiffness, and cramps.</t>
        </is>
      </c>
      <c r="J3" s="11" t="inlineStr">
        <is>
          <t>Gentle Hip Sway (4 mins) • Slow Waltz Step (4 mins) • Supported Side Reach (4 mins)</t>
        </is>
      </c>
      <c r="K3" s="11" t="inlineStr">
        <is>
          <t>3 minutes supported relaxation with warm water.</t>
        </is>
      </c>
      <c r="L3" s="11" t="inlineStr">
        <is>
          <t>100% seated on a comfortable sofa or chair.</t>
        </is>
      </c>
      <c r="M3" s="11" t="inlineStr">
        <is>
          <t>https://www.youtube.com/results?search_query=10+minute+gentle+restorative+dance+and+stretch</t>
        </is>
      </c>
    </row>
    <row r="4" ht="32" customHeight="1">
      <c r="A4" s="10" t="inlineStr">
        <is>
          <t>2026-10-26</t>
        </is>
      </c>
      <c r="B4" s="10" t="n">
        <v>3</v>
      </c>
      <c r="C4" s="10" t="inlineStr">
        <is>
          <t>Monday</t>
        </is>
      </c>
      <c r="D4" s="14" t="inlineStr">
        <is>
          <t>ZUMBA SESSION</t>
        </is>
      </c>
      <c r="E4" s="11" t="inlineStr">
        <is>
          <t>15-Min Joyful Beginner Bollywood Zumba Dance Party</t>
        </is>
      </c>
      <c r="F4" s="12" t="n">
        <v>15</v>
      </c>
      <c r="G4" s="12" t="n">
        <v>105</v>
      </c>
      <c r="H4" s="11" t="inlineStr">
        <is>
          <t>Bollywood Dance Fitness</t>
        </is>
      </c>
      <c r="I4" s="11" t="inlineStr">
        <is>
          <t>2 minutes of slow shoulder rolls, side-to-side step touches, and wrist circles. Put on upbeat music! Follow easy beginner dance steps with no jumping. Sway your hips, pump your arms, and have fun. Never worry about perfection — just keep moving and smiling! ❤️</t>
        </is>
      </c>
      <c r="J4" s="11" t="inlineStr">
        <is>
          <t>Bollywood Bhangra Bounce (3 mins) • Salsa Side-to-Side Step (4 mins) • Merengue March &amp; Arm Reaches (4 mins) • Cumbia Hip Sway (4 mins)</t>
        </is>
      </c>
      <c r="K4" s="11" t="inlineStr">
        <is>
          <t>2 minutes of gentle salsa breathing, slow swaying, and deep belly breath.</t>
        </is>
      </c>
      <c r="L4" s="11" t="inlineStr">
        <is>
          <t>Seated dance moves on a chair with expressive arm rolls and seated foot taps.</t>
        </is>
      </c>
      <c r="M4" s="11" t="inlineStr">
        <is>
          <t>https://www.youtube.com/results?search_query=15+minute+beginner+bollywood+dance+workout+low+impact</t>
        </is>
      </c>
    </row>
    <row r="5" ht="32" customHeight="1">
      <c r="A5" s="10" t="inlineStr">
        <is>
          <t>2026-10-27</t>
        </is>
      </c>
      <c r="B5" s="10" t="n">
        <v>4</v>
      </c>
      <c r="C5" s="10" t="inlineStr">
        <is>
          <t>Tuesday</t>
        </is>
      </c>
      <c r="D5" s="14" t="inlineStr">
        <is>
          <t>ZUMBA SESSION</t>
        </is>
      </c>
      <c r="E5" s="11" t="inlineStr">
        <is>
          <t>15-Min Feel-Good Latin Zumba Party (Knee-Friendly, Low Impact)</t>
        </is>
      </c>
      <c r="F5" s="12" t="n">
        <v>15</v>
      </c>
      <c r="G5" s="12" t="n">
        <v>105</v>
      </c>
      <c r="H5" s="11" t="inlineStr">
        <is>
          <t>Latin Fiesta Dance</t>
        </is>
      </c>
      <c r="I5" s="11" t="inlineStr">
        <is>
          <t>2 minutes easy hip circles and gentle arm sweeps. Gentle Latin rhythms (Merengue, Salsa, Bachata). Keep knees soft and absorb rhythm naturally.</t>
        </is>
      </c>
      <c r="J5" s="11" t="inlineStr">
        <is>
          <t>Merengue 6-Count March (4 mins) • Salsa Forward &amp; Back Step (4 mins) • Reggaeton Gentle Bounce (3 mins) • Bachata Side Touch (4 mins)</t>
        </is>
      </c>
      <c r="K5" s="11" t="inlineStr">
        <is>
          <t>3 minutes calm swaying and calf stretch.</t>
        </is>
      </c>
      <c r="L5" s="11" t="inlineStr">
        <is>
          <t>Chair-supported dance steps holding dining table or chair back.</t>
        </is>
      </c>
      <c r="M5" s="11" t="inlineStr">
        <is>
          <t>https://www.youtube.com/results?search_query=15+minute+easy+zumba+dance+workout+for+beginners+low+impact</t>
        </is>
      </c>
    </row>
    <row r="6" ht="32" customHeight="1">
      <c r="A6" s="10" t="inlineStr">
        <is>
          <t>2026-10-28</t>
        </is>
      </c>
      <c r="B6" s="10" t="n">
        <v>5</v>
      </c>
      <c r="C6" s="10" t="inlineStr">
        <is>
          <t>Wednesday</t>
        </is>
      </c>
      <c r="D6" s="13" t="inlineStr">
        <is>
          <t>REST DAY</t>
        </is>
      </c>
      <c r="E6" s="11" t="inlineStr">
        <is>
          <t>REST DAY — Rest, Recover &amp; Nourish ❤️</t>
        </is>
      </c>
      <c r="F6" s="12" t="n">
        <v>0</v>
      </c>
      <c r="G6" s="12" t="n">
        <v>0</v>
      </c>
      <c r="H6" s="11" t="inlineStr">
        <is>
          <t>Restorative Rest</t>
        </is>
      </c>
      <c r="I6" s="11" t="inlineStr">
        <is>
          <t>Scheduled REST DAY (Wednesday) — Muscle recovery, sleep &amp; nervous system rest. Zero workout pressure! ❤️</t>
        </is>
      </c>
      <c r="J6" s="11" t="inlineStr">
        <is>
          <t>Zero workout assigned. Rest is 100% productive and honored. Keep hydration &amp; comfortable meals.</t>
        </is>
      </c>
      <c r="K6" s="11" t="inlineStr">
        <is>
          <t>Hand on heart, deep peaceful breathing, soothing chamomile or warm water.</t>
        </is>
      </c>
      <c r="L6" s="11" t="inlineStr">
        <is>
          <t>Optional gentle stroll around room if desired, never mandatory.</t>
        </is>
      </c>
      <c r="M6" s="11" t="inlineStr">
        <is>
          <t>N/A (Scheduled Rest Day)</t>
        </is>
      </c>
    </row>
    <row r="7" ht="32" customHeight="1">
      <c r="A7" s="10" t="inlineStr">
        <is>
          <t>2026-10-29</t>
        </is>
      </c>
      <c r="B7" s="10" t="n">
        <v>6</v>
      </c>
      <c r="C7" s="10" t="inlineStr">
        <is>
          <t>Thursday</t>
        </is>
      </c>
      <c r="D7" s="14" t="inlineStr">
        <is>
          <t>ZUMBA SESSION</t>
        </is>
      </c>
      <c r="E7" s="11" t="inlineStr">
        <is>
          <t>15-Min Joyful Beginner Bollywood Zumba Dance Party</t>
        </is>
      </c>
      <c r="F7" s="12" t="n">
        <v>15</v>
      </c>
      <c r="G7" s="12" t="n">
        <v>105</v>
      </c>
      <c r="H7" s="11" t="inlineStr">
        <is>
          <t>Bollywood Dance Fitness</t>
        </is>
      </c>
      <c r="I7" s="11" t="inlineStr">
        <is>
          <t>2 minutes of slow shoulder rolls, side-to-side step touches, and wrist circles. Put on upbeat music! Follow easy beginner dance steps with no jumping. Sway your hips, pump your arms, and have fun. Never worry about perfection — just keep moving and smiling! ❤️</t>
        </is>
      </c>
      <c r="J7" s="11" t="inlineStr">
        <is>
          <t>Bollywood Bhangra Bounce (3 mins) • Salsa Side-to-Side Step (4 mins) • Merengue March &amp; Arm Reaches (4 mins) • Cumbia Hip Sway (4 mins)</t>
        </is>
      </c>
      <c r="K7" s="11" t="inlineStr">
        <is>
          <t>2 minutes of gentle salsa breathing, slow swaying, and deep belly breath.</t>
        </is>
      </c>
      <c r="L7" s="11" t="inlineStr">
        <is>
          <t>Seated dance moves on a chair with expressive arm rolls and seated foot taps.</t>
        </is>
      </c>
      <c r="M7" s="11" t="inlineStr">
        <is>
          <t>https://www.youtube.com/results?search_query=15+minute+beginner+bollywood+dance+workout+low+impact</t>
        </is>
      </c>
    </row>
    <row r="8" ht="32" customHeight="1">
      <c r="A8" s="10" t="inlineStr">
        <is>
          <t>2026-10-30</t>
        </is>
      </c>
      <c r="B8" s="10" t="n">
        <v>7</v>
      </c>
      <c r="C8" s="10" t="inlineStr">
        <is>
          <t>Friday</t>
        </is>
      </c>
      <c r="D8" s="14" t="inlineStr">
        <is>
          <t>ZUMBA SESSION</t>
        </is>
      </c>
      <c r="E8" s="11" t="inlineStr">
        <is>
          <t>15-Min Feel-Good Latin Zumba Party (Knee-Friendly, Low Impact)</t>
        </is>
      </c>
      <c r="F8" s="12" t="n">
        <v>15</v>
      </c>
      <c r="G8" s="12" t="n">
        <v>105</v>
      </c>
      <c r="H8" s="11" t="inlineStr">
        <is>
          <t>Latin Fiesta Dance</t>
        </is>
      </c>
      <c r="I8" s="11" t="inlineStr">
        <is>
          <t>2 minutes easy hip circles and gentle arm sweeps. Gentle Latin rhythms (Merengue, Salsa, Bachata). Keep knees soft and absorb rhythm naturally.</t>
        </is>
      </c>
      <c r="J8" s="11" t="inlineStr">
        <is>
          <t>Merengue 6-Count March (4 mins) • Salsa Forward &amp; Back Step (4 mins) • Reggaeton Gentle Bounce (3 mins) • Bachata Side Touch (4 mins)</t>
        </is>
      </c>
      <c r="K8" s="11" t="inlineStr">
        <is>
          <t>3 minutes calm swaying and calf stretch.</t>
        </is>
      </c>
      <c r="L8" s="11" t="inlineStr">
        <is>
          <t>Chair-supported dance steps holding dining table or chair back.</t>
        </is>
      </c>
      <c r="M8" s="11" t="inlineStr">
        <is>
          <t>https://www.youtube.com/results?search_query=15+minute+easy+zumba+dance+workout+for+beginners+low+impact</t>
        </is>
      </c>
    </row>
    <row r="9" ht="32" customHeight="1">
      <c r="A9" s="10" t="inlineStr">
        <is>
          <t>2026-10-31</t>
        </is>
      </c>
      <c r="B9" s="10" t="n">
        <v>8</v>
      </c>
      <c r="C9" s="10" t="inlineStr">
        <is>
          <t>Saturday</t>
        </is>
      </c>
      <c r="D9" s="13" t="inlineStr">
        <is>
          <t>REST DAY</t>
        </is>
      </c>
      <c r="E9" s="11" t="inlineStr">
        <is>
          <t>REST DAY — Rest, Recover &amp; Nourish ❤️</t>
        </is>
      </c>
      <c r="F9" s="12" t="n">
        <v>0</v>
      </c>
      <c r="G9" s="12" t="n">
        <v>0</v>
      </c>
      <c r="H9" s="11" t="inlineStr">
        <is>
          <t>Restorative Rest</t>
        </is>
      </c>
      <c r="I9" s="11" t="inlineStr">
        <is>
          <t>Scheduled REST DAY (Saturday) — Muscle recovery, sleep &amp; nervous system rest. Zero workout pressure! ❤️</t>
        </is>
      </c>
      <c r="J9" s="11" t="inlineStr">
        <is>
          <t>Zero workout assigned. Rest is 100% productive and honored. Keep hydration &amp; comfortable meals.</t>
        </is>
      </c>
      <c r="K9" s="11" t="inlineStr">
        <is>
          <t>Hand on heart, deep peaceful breathing, soothing chamomile or warm water.</t>
        </is>
      </c>
      <c r="L9" s="11" t="inlineStr">
        <is>
          <t>Optional gentle stroll around room if desired, never mandatory.</t>
        </is>
      </c>
      <c r="M9" s="11" t="inlineStr">
        <is>
          <t>N/A (Scheduled Rest Day)</t>
        </is>
      </c>
    </row>
    <row r="10" ht="32" customHeight="1">
      <c r="A10" s="10" t="inlineStr">
        <is>
          <t>2026-11-01</t>
        </is>
      </c>
      <c r="B10" s="10" t="n">
        <v>9</v>
      </c>
      <c r="C10" s="10" t="inlineStr">
        <is>
          <t>Sunday</t>
        </is>
      </c>
      <c r="D10" s="13" t="inlineStr">
        <is>
          <t>REST DAY</t>
        </is>
      </c>
      <c r="E10" s="11" t="inlineStr">
        <is>
          <t>REST DAY — Rest, Recover &amp; Nourish ❤️</t>
        </is>
      </c>
      <c r="F10" s="12" t="n">
        <v>0</v>
      </c>
      <c r="G10" s="12" t="n">
        <v>0</v>
      </c>
      <c r="H10" s="11" t="inlineStr">
        <is>
          <t>Restorative Rest</t>
        </is>
      </c>
      <c r="I10" s="11" t="inlineStr">
        <is>
          <t>Scheduled REST DAY (Sunday) — Muscle recovery, sleep &amp; nervous system rest. Zero workout pressure! ❤️</t>
        </is>
      </c>
      <c r="J10" s="11" t="inlineStr">
        <is>
          <t>Zero workout assigned. Rest is 100% productive and honored. Keep hydration &amp; comfortable meals.</t>
        </is>
      </c>
      <c r="K10" s="11" t="inlineStr">
        <is>
          <t>Hand on heart, deep peaceful breathing, soothing chamomile or warm water.</t>
        </is>
      </c>
      <c r="L10" s="11" t="inlineStr">
        <is>
          <t>Optional gentle stroll around room if desired, never mandatory.</t>
        </is>
      </c>
      <c r="M10" s="11" t="inlineStr">
        <is>
          <t>N/A (Scheduled Rest Day)</t>
        </is>
      </c>
    </row>
    <row r="11" ht="32" customHeight="1">
      <c r="A11" s="10" t="inlineStr">
        <is>
          <t>2026-11-02</t>
        </is>
      </c>
      <c r="B11" s="10" t="n">
        <v>10</v>
      </c>
      <c r="C11" s="10" t="inlineStr">
        <is>
          <t>Monday</t>
        </is>
      </c>
      <c r="D11" s="14" t="inlineStr">
        <is>
          <t>ZUMBA SESSION</t>
        </is>
      </c>
      <c r="E11" s="11" t="inlineStr">
        <is>
          <t>15-Min Joyful Beginner Bollywood Zumba Dance Party</t>
        </is>
      </c>
      <c r="F11" s="12" t="n">
        <v>15</v>
      </c>
      <c r="G11" s="12" t="n">
        <v>105</v>
      </c>
      <c r="H11" s="11" t="inlineStr">
        <is>
          <t>Bollywood Dance Fitness</t>
        </is>
      </c>
      <c r="I11" s="11" t="inlineStr">
        <is>
          <t>2 minutes of slow shoulder rolls, side-to-side step touches, and wrist circles. Put on upbeat music! Follow easy beginner dance steps with no jumping. Sway your hips, pump your arms, and have fun. Never worry about perfection — just keep moving and smiling! ❤️</t>
        </is>
      </c>
      <c r="J11" s="11" t="inlineStr">
        <is>
          <t>Bollywood Bhangra Bounce (3 mins) • Salsa Side-to-Side Step (4 mins) • Merengue March &amp; Arm Reaches (4 mins) • Cumbia Hip Sway (4 mins)</t>
        </is>
      </c>
      <c r="K11" s="11" t="inlineStr">
        <is>
          <t>2 minutes of gentle salsa breathing, slow swaying, and deep belly breath.</t>
        </is>
      </c>
      <c r="L11" s="11" t="inlineStr">
        <is>
          <t>Seated dance moves on a chair with expressive arm rolls and seated foot taps.</t>
        </is>
      </c>
      <c r="M11" s="11" t="inlineStr">
        <is>
          <t>https://www.youtube.com/results?search_query=15+minute+beginner+bollywood+dance+workout+low+impact</t>
        </is>
      </c>
    </row>
    <row r="12" ht="32" customHeight="1">
      <c r="A12" s="10" t="inlineStr">
        <is>
          <t>2026-11-03</t>
        </is>
      </c>
      <c r="B12" s="10" t="n">
        <v>11</v>
      </c>
      <c r="C12" s="10" t="inlineStr">
        <is>
          <t>Tuesday</t>
        </is>
      </c>
      <c r="D12" s="14" t="inlineStr">
        <is>
          <t>ZUMBA SESSION</t>
        </is>
      </c>
      <c r="E12" s="11" t="inlineStr">
        <is>
          <t>15-Min Feel-Good Latin Zumba Party (Knee-Friendly, Low Impact)</t>
        </is>
      </c>
      <c r="F12" s="12" t="n">
        <v>15</v>
      </c>
      <c r="G12" s="12" t="n">
        <v>105</v>
      </c>
      <c r="H12" s="11" t="inlineStr">
        <is>
          <t>Latin Fiesta Dance</t>
        </is>
      </c>
      <c r="I12" s="11" t="inlineStr">
        <is>
          <t>2 minutes easy hip circles and gentle arm sweeps. Gentle Latin rhythms (Merengue, Salsa, Bachata). Keep knees soft and absorb rhythm naturally.</t>
        </is>
      </c>
      <c r="J12" s="11" t="inlineStr">
        <is>
          <t>Merengue 6-Count March (4 mins) • Salsa Forward &amp; Back Step (4 mins) • Reggaeton Gentle Bounce (3 mins) • Bachata Side Touch (4 mins)</t>
        </is>
      </c>
      <c r="K12" s="11" t="inlineStr">
        <is>
          <t>3 minutes calm swaying and calf stretch.</t>
        </is>
      </c>
      <c r="L12" s="11" t="inlineStr">
        <is>
          <t>Chair-supported dance steps holding dining table or chair back.</t>
        </is>
      </c>
      <c r="M12" s="11" t="inlineStr">
        <is>
          <t>https://www.youtube.com/results?search_query=15+minute+easy+zumba+dance+workout+for+beginners+low+impact</t>
        </is>
      </c>
    </row>
    <row r="13" ht="32" customHeight="1">
      <c r="A13" s="10" t="inlineStr">
        <is>
          <t>2026-11-04</t>
        </is>
      </c>
      <c r="B13" s="10" t="n">
        <v>12</v>
      </c>
      <c r="C13" s="10" t="inlineStr">
        <is>
          <t>Wednesday</t>
        </is>
      </c>
      <c r="D13" s="13" t="inlineStr">
        <is>
          <t>REST DAY</t>
        </is>
      </c>
      <c r="E13" s="11" t="inlineStr">
        <is>
          <t>REST DAY — Rest, Recover &amp; Nourish ❤️</t>
        </is>
      </c>
      <c r="F13" s="12" t="n">
        <v>0</v>
      </c>
      <c r="G13" s="12" t="n">
        <v>0</v>
      </c>
      <c r="H13" s="11" t="inlineStr">
        <is>
          <t>Restorative Rest</t>
        </is>
      </c>
      <c r="I13" s="11" t="inlineStr">
        <is>
          <t>Scheduled REST DAY (Wednesday) — Muscle recovery, sleep &amp; nervous system rest. Zero workout pressure! ❤️</t>
        </is>
      </c>
      <c r="J13" s="11" t="inlineStr">
        <is>
          <t>Zero workout assigned. Rest is 100% productive and honored. Keep hydration &amp; comfortable meals.</t>
        </is>
      </c>
      <c r="K13" s="11" t="inlineStr">
        <is>
          <t>Hand on heart, deep peaceful breathing, soothing chamomile or warm water.</t>
        </is>
      </c>
      <c r="L13" s="11" t="inlineStr">
        <is>
          <t>Optional gentle stroll around room if desired, never mandatory.</t>
        </is>
      </c>
      <c r="M13" s="11" t="inlineStr">
        <is>
          <t>N/A (Scheduled Rest Day)</t>
        </is>
      </c>
    </row>
    <row r="14" ht="32" customHeight="1">
      <c r="A14" s="10" t="inlineStr">
        <is>
          <t>2026-11-05</t>
        </is>
      </c>
      <c r="B14" s="10" t="n">
        <v>13</v>
      </c>
      <c r="C14" s="10" t="inlineStr">
        <is>
          <t>Thursday</t>
        </is>
      </c>
      <c r="D14" s="14" t="inlineStr">
        <is>
          <t>ZUMBA SESSION</t>
        </is>
      </c>
      <c r="E14" s="11" t="inlineStr">
        <is>
          <t>15-Min Joyful Beginner Bollywood Zumba Dance Party</t>
        </is>
      </c>
      <c r="F14" s="12" t="n">
        <v>15</v>
      </c>
      <c r="G14" s="12" t="n">
        <v>105</v>
      </c>
      <c r="H14" s="11" t="inlineStr">
        <is>
          <t>Bollywood Dance Fitness</t>
        </is>
      </c>
      <c r="I14" s="11" t="inlineStr">
        <is>
          <t>2 minutes of slow shoulder rolls, side-to-side step touches, and wrist circles. Put on upbeat music! Follow easy beginner dance steps with no jumping. Sway your hips, pump your arms, and have fun. Never worry about perfection — just keep moving and smiling! ❤️</t>
        </is>
      </c>
      <c r="J14" s="11" t="inlineStr">
        <is>
          <t>Bollywood Bhangra Bounce (3 mins) • Salsa Side-to-Side Step (4 mins) • Merengue March &amp; Arm Reaches (4 mins) • Cumbia Hip Sway (4 mins)</t>
        </is>
      </c>
      <c r="K14" s="11" t="inlineStr">
        <is>
          <t>2 minutes of gentle salsa breathing, slow swaying, and deep belly breath.</t>
        </is>
      </c>
      <c r="L14" s="11" t="inlineStr">
        <is>
          <t>Seated dance moves on a chair with expressive arm rolls and seated foot taps.</t>
        </is>
      </c>
      <c r="M14" s="11" t="inlineStr">
        <is>
          <t>https://www.youtube.com/results?search_query=15+minute+beginner+bollywood+dance+workout+low+impact</t>
        </is>
      </c>
    </row>
    <row r="15" ht="32" customHeight="1">
      <c r="A15" s="10" t="inlineStr">
        <is>
          <t>2026-11-06</t>
        </is>
      </c>
      <c r="B15" s="10" t="n">
        <v>14</v>
      </c>
      <c r="C15" s="10" t="inlineStr">
        <is>
          <t>Friday</t>
        </is>
      </c>
      <c r="D15" s="14" t="inlineStr">
        <is>
          <t>ZUMBA SESSION</t>
        </is>
      </c>
      <c r="E15" s="11" t="inlineStr">
        <is>
          <t>15-Min Feel-Good Latin Zumba Party (Knee-Friendly, Low Impact)</t>
        </is>
      </c>
      <c r="F15" s="12" t="n">
        <v>15</v>
      </c>
      <c r="G15" s="12" t="n">
        <v>105</v>
      </c>
      <c r="H15" s="11" t="inlineStr">
        <is>
          <t>Latin Fiesta Dance</t>
        </is>
      </c>
      <c r="I15" s="11" t="inlineStr">
        <is>
          <t>2 minutes easy hip circles and gentle arm sweeps. Gentle Latin rhythms (Merengue, Salsa, Bachata). Keep knees soft and absorb rhythm naturally.</t>
        </is>
      </c>
      <c r="J15" s="11" t="inlineStr">
        <is>
          <t>Merengue 6-Count March (4 mins) • Salsa Forward &amp; Back Step (4 mins) • Reggaeton Gentle Bounce (3 mins) • Bachata Side Touch (4 mins)</t>
        </is>
      </c>
      <c r="K15" s="11" t="inlineStr">
        <is>
          <t>3 minutes calm swaying and calf stretch.</t>
        </is>
      </c>
      <c r="L15" s="11" t="inlineStr">
        <is>
          <t>Chair-supported dance steps holding dining table or chair back.</t>
        </is>
      </c>
      <c r="M15" s="11" t="inlineStr">
        <is>
          <t>https://www.youtube.com/results?search_query=15+minute+easy+zumba+dance+workout+for+beginners+low+impact</t>
        </is>
      </c>
    </row>
    <row r="16" ht="32" customHeight="1">
      <c r="A16" s="10" t="inlineStr">
        <is>
          <t>2026-11-07</t>
        </is>
      </c>
      <c r="B16" s="10" t="n">
        <v>15</v>
      </c>
      <c r="C16" s="10" t="inlineStr">
        <is>
          <t>Saturday</t>
        </is>
      </c>
      <c r="D16" s="13" t="inlineStr">
        <is>
          <t>REST DAY</t>
        </is>
      </c>
      <c r="E16" s="11" t="inlineStr">
        <is>
          <t>REST DAY — Rest, Recover &amp; Nourish ❤️</t>
        </is>
      </c>
      <c r="F16" s="12" t="n">
        <v>0</v>
      </c>
      <c r="G16" s="12" t="n">
        <v>0</v>
      </c>
      <c r="H16" s="11" t="inlineStr">
        <is>
          <t>Restorative Rest</t>
        </is>
      </c>
      <c r="I16" s="11" t="inlineStr">
        <is>
          <t>Scheduled REST DAY (Saturday) — Muscle recovery, sleep &amp; nervous system rest. Zero workout pressure! ❤️</t>
        </is>
      </c>
      <c r="J16" s="11" t="inlineStr">
        <is>
          <t>Zero workout assigned. Rest is 100% productive and honored. Keep hydration &amp; comfortable meals.</t>
        </is>
      </c>
      <c r="K16" s="11" t="inlineStr">
        <is>
          <t>Hand on heart, deep peaceful breathing, soothing chamomile or warm water.</t>
        </is>
      </c>
      <c r="L16" s="11" t="inlineStr">
        <is>
          <t>Optional gentle stroll around room if desired, never mandatory.</t>
        </is>
      </c>
      <c r="M16" s="11" t="inlineStr">
        <is>
          <t>N/A (Scheduled Rest Day)</t>
        </is>
      </c>
    </row>
    <row r="17" ht="32" customHeight="1">
      <c r="A17" s="10" t="inlineStr">
        <is>
          <t>2026-11-08</t>
        </is>
      </c>
      <c r="B17" s="10" t="n">
        <v>16</v>
      </c>
      <c r="C17" s="10" t="inlineStr">
        <is>
          <t>Sunday</t>
        </is>
      </c>
      <c r="D17" s="13" t="inlineStr">
        <is>
          <t>REST DAY</t>
        </is>
      </c>
      <c r="E17" s="11" t="inlineStr">
        <is>
          <t>REST DAY — Rest, Recover &amp; Nourish ❤️</t>
        </is>
      </c>
      <c r="F17" s="12" t="n">
        <v>0</v>
      </c>
      <c r="G17" s="12" t="n">
        <v>0</v>
      </c>
      <c r="H17" s="11" t="inlineStr">
        <is>
          <t>Restorative Rest</t>
        </is>
      </c>
      <c r="I17" s="11" t="inlineStr">
        <is>
          <t>Scheduled REST DAY (Sunday) — Muscle recovery, sleep &amp; nervous system rest. Zero workout pressure! ❤️</t>
        </is>
      </c>
      <c r="J17" s="11" t="inlineStr">
        <is>
          <t>Zero workout assigned. Rest is 100% productive and honored. Keep hydration &amp; comfortable meals.</t>
        </is>
      </c>
      <c r="K17" s="11" t="inlineStr">
        <is>
          <t>Hand on heart, deep peaceful breathing, soothing chamomile or warm water.</t>
        </is>
      </c>
      <c r="L17" s="11" t="inlineStr">
        <is>
          <t>Optional gentle stroll around room if desired, never mandatory.</t>
        </is>
      </c>
      <c r="M17" s="11" t="inlineStr">
        <is>
          <t>N/A (Scheduled Rest Day)</t>
        </is>
      </c>
    </row>
    <row r="18" ht="32" customHeight="1">
      <c r="A18" s="10" t="inlineStr">
        <is>
          <t>2026-11-09</t>
        </is>
      </c>
      <c r="B18" s="10" t="n">
        <v>17</v>
      </c>
      <c r="C18" s="10" t="inlineStr">
        <is>
          <t>Monday</t>
        </is>
      </c>
      <c r="D18" s="14" t="inlineStr">
        <is>
          <t>ZUMBA SESSION</t>
        </is>
      </c>
      <c r="E18" s="11" t="inlineStr">
        <is>
          <t>15-Min Joyful Beginner Bollywood Zumba Dance Party</t>
        </is>
      </c>
      <c r="F18" s="12" t="n">
        <v>15</v>
      </c>
      <c r="G18" s="12" t="n">
        <v>105</v>
      </c>
      <c r="H18" s="11" t="inlineStr">
        <is>
          <t>Bollywood Dance Fitness</t>
        </is>
      </c>
      <c r="I18" s="11" t="inlineStr">
        <is>
          <t>2 minutes of slow shoulder rolls, side-to-side step touches, and wrist circles. Put on upbeat music! Follow easy beginner dance steps with no jumping. Sway your hips, pump your arms, and have fun. Never worry about perfection — just keep moving and smiling! ❤️</t>
        </is>
      </c>
      <c r="J18" s="11" t="inlineStr">
        <is>
          <t>Bollywood Bhangra Bounce (3 mins) • Salsa Side-to-Side Step (4 mins) • Merengue March &amp; Arm Reaches (4 mins) • Cumbia Hip Sway (4 mins)</t>
        </is>
      </c>
      <c r="K18" s="11" t="inlineStr">
        <is>
          <t>2 minutes of gentle salsa breathing, slow swaying, and deep belly breath.</t>
        </is>
      </c>
      <c r="L18" s="11" t="inlineStr">
        <is>
          <t>Seated dance moves on a chair with expressive arm rolls and seated foot taps.</t>
        </is>
      </c>
      <c r="M18" s="11" t="inlineStr">
        <is>
          <t>https://www.youtube.com/results?search_query=15+minute+beginner+bollywood+dance+workout+low+impact</t>
        </is>
      </c>
    </row>
    <row r="19" ht="32" customHeight="1">
      <c r="A19" s="10" t="inlineStr">
        <is>
          <t>2026-11-10</t>
        </is>
      </c>
      <c r="B19" s="10" t="n">
        <v>18</v>
      </c>
      <c r="C19" s="10" t="inlineStr">
        <is>
          <t>Tuesday</t>
        </is>
      </c>
      <c r="D19" s="14" t="inlineStr">
        <is>
          <t>ZUMBA SESSION</t>
        </is>
      </c>
      <c r="E19" s="11" t="inlineStr">
        <is>
          <t>15-Min Feel-Good Latin Zumba Party (Knee-Friendly, Low Impact)</t>
        </is>
      </c>
      <c r="F19" s="12" t="n">
        <v>15</v>
      </c>
      <c r="G19" s="12" t="n">
        <v>105</v>
      </c>
      <c r="H19" s="11" t="inlineStr">
        <is>
          <t>Latin Fiesta Dance</t>
        </is>
      </c>
      <c r="I19" s="11" t="inlineStr">
        <is>
          <t>2 minutes easy hip circles and gentle arm sweeps. Gentle Latin rhythms (Merengue, Salsa, Bachata). Keep knees soft and absorb rhythm naturally.</t>
        </is>
      </c>
      <c r="J19" s="11" t="inlineStr">
        <is>
          <t>Merengue 6-Count March (4 mins) • Salsa Forward &amp; Back Step (4 mins) • Reggaeton Gentle Bounce (3 mins) • Bachata Side Touch (4 mins)</t>
        </is>
      </c>
      <c r="K19" s="11" t="inlineStr">
        <is>
          <t>3 minutes calm swaying and calf stretch.</t>
        </is>
      </c>
      <c r="L19" s="11" t="inlineStr">
        <is>
          <t>Chair-supported dance steps holding dining table or chair back.</t>
        </is>
      </c>
      <c r="M19" s="11" t="inlineStr">
        <is>
          <t>https://www.youtube.com/results?search_query=15+minute+easy+zumba+dance+workout+for+beginners+low+impact</t>
        </is>
      </c>
    </row>
    <row r="20" ht="32" customHeight="1">
      <c r="A20" s="10" t="inlineStr">
        <is>
          <t>2026-11-11</t>
        </is>
      </c>
      <c r="B20" s="10" t="n">
        <v>19</v>
      </c>
      <c r="C20" s="10" t="inlineStr">
        <is>
          <t>Wednesday</t>
        </is>
      </c>
      <c r="D20" s="13" t="inlineStr">
        <is>
          <t>REST DAY</t>
        </is>
      </c>
      <c r="E20" s="11" t="inlineStr">
        <is>
          <t>REST DAY — Rest, Recover &amp; Nourish ❤️</t>
        </is>
      </c>
      <c r="F20" s="12" t="n">
        <v>0</v>
      </c>
      <c r="G20" s="12" t="n">
        <v>0</v>
      </c>
      <c r="H20" s="11" t="inlineStr">
        <is>
          <t>Restorative Rest</t>
        </is>
      </c>
      <c r="I20" s="11" t="inlineStr">
        <is>
          <t>Scheduled REST DAY (Wednesday) — Muscle recovery, sleep &amp; nervous system rest. Zero workout pressure! ❤️</t>
        </is>
      </c>
      <c r="J20" s="11" t="inlineStr">
        <is>
          <t>Zero workout assigned. Rest is 100% productive and honored. Keep hydration &amp; comfortable meals.</t>
        </is>
      </c>
      <c r="K20" s="11" t="inlineStr">
        <is>
          <t>Hand on heart, deep peaceful breathing, soothing chamomile or warm water.</t>
        </is>
      </c>
      <c r="L20" s="11" t="inlineStr">
        <is>
          <t>Optional gentle stroll around room if desired, never mandatory.</t>
        </is>
      </c>
      <c r="M20" s="11" t="inlineStr">
        <is>
          <t>N/A (Scheduled Rest Day)</t>
        </is>
      </c>
    </row>
    <row r="21" ht="32" customHeight="1">
      <c r="A21" s="10" t="inlineStr">
        <is>
          <t>2026-11-12</t>
        </is>
      </c>
      <c r="B21" s="10" t="n">
        <v>20</v>
      </c>
      <c r="C21" s="10" t="inlineStr">
        <is>
          <t>Thursday</t>
        </is>
      </c>
      <c r="D21" s="14" t="inlineStr">
        <is>
          <t>ZUMBA SESSION</t>
        </is>
      </c>
      <c r="E21" s="11" t="inlineStr">
        <is>
          <t>15-Min Joyful Beginner Bollywood Zumba Dance Party</t>
        </is>
      </c>
      <c r="F21" s="12" t="n">
        <v>15</v>
      </c>
      <c r="G21" s="12" t="n">
        <v>105</v>
      </c>
      <c r="H21" s="11" t="inlineStr">
        <is>
          <t>Bollywood Dance Fitness</t>
        </is>
      </c>
      <c r="I21" s="11" t="inlineStr">
        <is>
          <t>2 minutes of slow shoulder rolls, side-to-side step touches, and wrist circles. Put on upbeat music! Follow easy beginner dance steps with no jumping. Sway your hips, pump your arms, and have fun. Never worry about perfection — just keep moving and smiling! ❤️</t>
        </is>
      </c>
      <c r="J21" s="11" t="inlineStr">
        <is>
          <t>Bollywood Bhangra Bounce (3 mins) • Salsa Side-to-Side Step (4 mins) • Merengue March &amp; Arm Reaches (4 mins) • Cumbia Hip Sway (4 mins)</t>
        </is>
      </c>
      <c r="K21" s="11" t="inlineStr">
        <is>
          <t>2 minutes of gentle salsa breathing, slow swaying, and deep belly breath.</t>
        </is>
      </c>
      <c r="L21" s="11" t="inlineStr">
        <is>
          <t>Seated dance moves on a chair with expressive arm rolls and seated foot taps.</t>
        </is>
      </c>
      <c r="M21" s="11" t="inlineStr">
        <is>
          <t>https://www.youtube.com/results?search_query=15+minute+beginner+bollywood+dance+workout+low+impact</t>
        </is>
      </c>
    </row>
    <row r="22" ht="32" customHeight="1">
      <c r="A22" s="10" t="inlineStr">
        <is>
          <t>2026-11-13</t>
        </is>
      </c>
      <c r="B22" s="10" t="n">
        <v>21</v>
      </c>
      <c r="C22" s="10" t="inlineStr">
        <is>
          <t>Friday</t>
        </is>
      </c>
      <c r="D22" s="14" t="inlineStr">
        <is>
          <t>ZUMBA SESSION</t>
        </is>
      </c>
      <c r="E22" s="11" t="inlineStr">
        <is>
          <t>15-Min Feel-Good Latin Zumba Party (Knee-Friendly, Low Impact)</t>
        </is>
      </c>
      <c r="F22" s="12" t="n">
        <v>15</v>
      </c>
      <c r="G22" s="12" t="n">
        <v>105</v>
      </c>
      <c r="H22" s="11" t="inlineStr">
        <is>
          <t>Latin Fiesta Dance</t>
        </is>
      </c>
      <c r="I22" s="11" t="inlineStr">
        <is>
          <t>2 minutes easy hip circles and gentle arm sweeps. Gentle Latin rhythms (Merengue, Salsa, Bachata). Keep knees soft and absorb rhythm naturally.</t>
        </is>
      </c>
      <c r="J22" s="11" t="inlineStr">
        <is>
          <t>Merengue 6-Count March (4 mins) • Salsa Forward &amp; Back Step (4 mins) • Reggaeton Gentle Bounce (3 mins) • Bachata Side Touch (4 mins)</t>
        </is>
      </c>
      <c r="K22" s="11" t="inlineStr">
        <is>
          <t>3 minutes calm swaying and calf stretch.</t>
        </is>
      </c>
      <c r="L22" s="11" t="inlineStr">
        <is>
          <t>Chair-supported dance steps holding dining table or chair back.</t>
        </is>
      </c>
      <c r="M22" s="11" t="inlineStr">
        <is>
          <t>https://www.youtube.com/results?search_query=15+minute+easy+zumba+dance+workout+for+beginners+low+impact</t>
        </is>
      </c>
    </row>
    <row r="23" ht="32" customHeight="1">
      <c r="A23" s="10" t="inlineStr">
        <is>
          <t>2026-11-14</t>
        </is>
      </c>
      <c r="B23" s="10" t="n">
        <v>22</v>
      </c>
      <c r="C23" s="10" t="inlineStr">
        <is>
          <t>Saturday</t>
        </is>
      </c>
      <c r="D23" s="13" t="inlineStr">
        <is>
          <t>REST DAY</t>
        </is>
      </c>
      <c r="E23" s="11" t="inlineStr">
        <is>
          <t>REST DAY — Rest, Recover &amp; Nourish ❤️</t>
        </is>
      </c>
      <c r="F23" s="12" t="n">
        <v>0</v>
      </c>
      <c r="G23" s="12" t="n">
        <v>0</v>
      </c>
      <c r="H23" s="11" t="inlineStr">
        <is>
          <t>Restorative Rest</t>
        </is>
      </c>
      <c r="I23" s="11" t="inlineStr">
        <is>
          <t>Scheduled REST DAY (Saturday) — Muscle recovery, sleep &amp; nervous system rest. Zero workout pressure! ❤️</t>
        </is>
      </c>
      <c r="J23" s="11" t="inlineStr">
        <is>
          <t>Zero workout assigned. Rest is 100% productive and honored. Keep hydration &amp; comfortable meals.</t>
        </is>
      </c>
      <c r="K23" s="11" t="inlineStr">
        <is>
          <t>Hand on heart, deep peaceful breathing, soothing chamomile or warm water.</t>
        </is>
      </c>
      <c r="L23" s="11" t="inlineStr">
        <is>
          <t>Optional gentle stroll around room if desired, never mandatory.</t>
        </is>
      </c>
      <c r="M23" s="11" t="inlineStr">
        <is>
          <t>N/A (Scheduled Rest Day)</t>
        </is>
      </c>
    </row>
    <row r="24" ht="32" customHeight="1">
      <c r="A24" s="10" t="inlineStr">
        <is>
          <t>2026-11-15</t>
        </is>
      </c>
      <c r="B24" s="10" t="n">
        <v>23</v>
      </c>
      <c r="C24" s="10" t="inlineStr">
        <is>
          <t>Sunday</t>
        </is>
      </c>
      <c r="D24" s="13" t="inlineStr">
        <is>
          <t>REST DAY</t>
        </is>
      </c>
      <c r="E24" s="11" t="inlineStr">
        <is>
          <t>REST DAY — Rest, Recover &amp; Nourish ❤️</t>
        </is>
      </c>
      <c r="F24" s="12" t="n">
        <v>0</v>
      </c>
      <c r="G24" s="12" t="n">
        <v>0</v>
      </c>
      <c r="H24" s="11" t="inlineStr">
        <is>
          <t>Restorative Rest</t>
        </is>
      </c>
      <c r="I24" s="11" t="inlineStr">
        <is>
          <t>Scheduled REST DAY (Sunday) — Muscle recovery, sleep &amp; nervous system rest. Zero workout pressure! ❤️</t>
        </is>
      </c>
      <c r="J24" s="11" t="inlineStr">
        <is>
          <t>Zero workout assigned. Rest is 100% productive and honored. Keep hydration &amp; comfortable meals.</t>
        </is>
      </c>
      <c r="K24" s="11" t="inlineStr">
        <is>
          <t>Hand on heart, deep peaceful breathing, soothing chamomile or warm water.</t>
        </is>
      </c>
      <c r="L24" s="11" t="inlineStr">
        <is>
          <t>Optional gentle stroll around room if desired, never mandatory.</t>
        </is>
      </c>
      <c r="M24" s="11" t="inlineStr">
        <is>
          <t>N/A (Scheduled Rest Day)</t>
        </is>
      </c>
    </row>
    <row r="25" ht="32" customHeight="1">
      <c r="A25" s="10" t="inlineStr">
        <is>
          <t>2026-11-16</t>
        </is>
      </c>
      <c r="B25" s="10" t="n">
        <v>24</v>
      </c>
      <c r="C25" s="10" t="inlineStr">
        <is>
          <t>Monday</t>
        </is>
      </c>
      <c r="D25" s="14" t="inlineStr">
        <is>
          <t>ZUMBA SESSION</t>
        </is>
      </c>
      <c r="E25" s="11" t="inlineStr">
        <is>
          <t>15-Min Joyful Beginner Bollywood Zumba Dance Party</t>
        </is>
      </c>
      <c r="F25" s="12" t="n">
        <v>15</v>
      </c>
      <c r="G25" s="12" t="n">
        <v>105</v>
      </c>
      <c r="H25" s="11" t="inlineStr">
        <is>
          <t>Bollywood Dance Fitness</t>
        </is>
      </c>
      <c r="I25" s="11" t="inlineStr">
        <is>
          <t>2 minutes of slow shoulder rolls, side-to-side step touches, and wrist circles. Put on upbeat music! Follow easy beginner dance steps with no jumping. Sway your hips, pump your arms, and have fun. Never worry about perfection — just keep moving and smiling! ❤️</t>
        </is>
      </c>
      <c r="J25" s="11" t="inlineStr">
        <is>
          <t>Bollywood Bhangra Bounce (3 mins) • Salsa Side-to-Side Step (4 mins) • Merengue March &amp; Arm Reaches (4 mins) • Cumbia Hip Sway (4 mins)</t>
        </is>
      </c>
      <c r="K25" s="11" t="inlineStr">
        <is>
          <t>2 minutes of gentle salsa breathing, slow swaying, and deep belly breath.</t>
        </is>
      </c>
      <c r="L25" s="11" t="inlineStr">
        <is>
          <t>Seated dance moves on a chair with expressive arm rolls and seated foot taps.</t>
        </is>
      </c>
      <c r="M25" s="11" t="inlineStr">
        <is>
          <t>https://www.youtube.com/results?search_query=15+minute+beginner+bollywood+dance+workout+low+impact</t>
        </is>
      </c>
    </row>
    <row r="26" ht="32" customHeight="1">
      <c r="A26" s="10" t="inlineStr">
        <is>
          <t>2026-11-17</t>
        </is>
      </c>
      <c r="B26" s="10" t="n">
        <v>25</v>
      </c>
      <c r="C26" s="10" t="inlineStr">
        <is>
          <t>Tuesday</t>
        </is>
      </c>
      <c r="D26" s="14" t="inlineStr">
        <is>
          <t>ZUMBA SESSION</t>
        </is>
      </c>
      <c r="E26" s="11" t="inlineStr">
        <is>
          <t>15-Min Feel-Good Latin Zumba Party (Knee-Friendly, Low Impact)</t>
        </is>
      </c>
      <c r="F26" s="12" t="n">
        <v>15</v>
      </c>
      <c r="G26" s="12" t="n">
        <v>105</v>
      </c>
      <c r="H26" s="11" t="inlineStr">
        <is>
          <t>Latin Fiesta Dance</t>
        </is>
      </c>
      <c r="I26" s="11" t="inlineStr">
        <is>
          <t>2 minutes easy hip circles and gentle arm sweeps. Gentle Latin rhythms (Merengue, Salsa, Bachata). Keep knees soft and absorb rhythm naturally.</t>
        </is>
      </c>
      <c r="J26" s="11" t="inlineStr">
        <is>
          <t>Merengue 6-Count March (4 mins) • Salsa Forward &amp; Back Step (4 mins) • Reggaeton Gentle Bounce (3 mins) • Bachata Side Touch (4 mins)</t>
        </is>
      </c>
      <c r="K26" s="11" t="inlineStr">
        <is>
          <t>3 minutes calm swaying and calf stretch.</t>
        </is>
      </c>
      <c r="L26" s="11" t="inlineStr">
        <is>
          <t>Chair-supported dance steps holding dining table or chair back.</t>
        </is>
      </c>
      <c r="M26" s="11" t="inlineStr">
        <is>
          <t>https://www.youtube.com/results?search_query=15+minute+easy+zumba+dance+workout+for+beginners+low+impact</t>
        </is>
      </c>
    </row>
    <row r="27" ht="32" customHeight="1">
      <c r="A27" s="10" t="inlineStr">
        <is>
          <t>2026-11-18</t>
        </is>
      </c>
      <c r="B27" s="10" t="n">
        <v>26</v>
      </c>
      <c r="C27" s="10" t="inlineStr">
        <is>
          <t>Wednesday</t>
        </is>
      </c>
      <c r="D27" s="13" t="inlineStr">
        <is>
          <t>REST DAY</t>
        </is>
      </c>
      <c r="E27" s="11" t="inlineStr">
        <is>
          <t>REST DAY — Rest, Recover &amp; Nourish ❤️</t>
        </is>
      </c>
      <c r="F27" s="12" t="n">
        <v>0</v>
      </c>
      <c r="G27" s="12" t="n">
        <v>0</v>
      </c>
      <c r="H27" s="11" t="inlineStr">
        <is>
          <t>Restorative Rest</t>
        </is>
      </c>
      <c r="I27" s="11" t="inlineStr">
        <is>
          <t>Scheduled REST DAY (Wednesday) — Muscle recovery, sleep &amp; nervous system rest. Zero workout pressure! ❤️</t>
        </is>
      </c>
      <c r="J27" s="11" t="inlineStr">
        <is>
          <t>Zero workout assigned. Rest is 100% productive and honored. Keep hydration &amp; comfortable meals.</t>
        </is>
      </c>
      <c r="K27" s="11" t="inlineStr">
        <is>
          <t>Hand on heart, deep peaceful breathing, soothing chamomile or warm water.</t>
        </is>
      </c>
      <c r="L27" s="11" t="inlineStr">
        <is>
          <t>Optional gentle stroll around room if desired, never mandatory.</t>
        </is>
      </c>
      <c r="M27" s="11" t="inlineStr">
        <is>
          <t>N/A (Scheduled Rest Day)</t>
        </is>
      </c>
    </row>
    <row r="28" ht="32" customHeight="1">
      <c r="A28" s="10" t="inlineStr">
        <is>
          <t>2026-11-19</t>
        </is>
      </c>
      <c r="B28" s="10" t="n">
        <v>27</v>
      </c>
      <c r="C28" s="10" t="inlineStr">
        <is>
          <t>Thursday</t>
        </is>
      </c>
      <c r="D28" s="14" t="inlineStr">
        <is>
          <t>ZUMBA SESSION</t>
        </is>
      </c>
      <c r="E28" s="11" t="inlineStr">
        <is>
          <t>15-Min Joyful Beginner Bollywood Zumba Dance Party</t>
        </is>
      </c>
      <c r="F28" s="12" t="n">
        <v>15</v>
      </c>
      <c r="G28" s="12" t="n">
        <v>105</v>
      </c>
      <c r="H28" s="11" t="inlineStr">
        <is>
          <t>Bollywood Dance Fitness</t>
        </is>
      </c>
      <c r="I28" s="11" t="inlineStr">
        <is>
          <t>2 minutes of slow shoulder rolls, side-to-side step touches, and wrist circles. Put on upbeat music! Follow easy beginner dance steps with no jumping. Sway your hips, pump your arms, and have fun. Never worry about perfection — just keep moving and smiling! ❤️</t>
        </is>
      </c>
      <c r="J28" s="11" t="inlineStr">
        <is>
          <t>Bollywood Bhangra Bounce (3 mins) • Salsa Side-to-Side Step (4 mins) • Merengue March &amp; Arm Reaches (4 mins) • Cumbia Hip Sway (4 mins)</t>
        </is>
      </c>
      <c r="K28" s="11" t="inlineStr">
        <is>
          <t>2 minutes of gentle salsa breathing, slow swaying, and deep belly breath.</t>
        </is>
      </c>
      <c r="L28" s="11" t="inlineStr">
        <is>
          <t>Seated dance moves on a chair with expressive arm rolls and seated foot taps.</t>
        </is>
      </c>
      <c r="M28" s="11" t="inlineStr">
        <is>
          <t>https://www.youtube.com/results?search_query=15+minute+beginner+bollywood+dance+workout+low+impact</t>
        </is>
      </c>
    </row>
    <row r="29" ht="32" customHeight="1">
      <c r="A29" s="10" t="inlineStr">
        <is>
          <t>2026-11-20</t>
        </is>
      </c>
      <c r="B29" s="10" t="n">
        <v>28</v>
      </c>
      <c r="C29" s="10" t="inlineStr">
        <is>
          <t>Friday</t>
        </is>
      </c>
      <c r="D29" s="14" t="inlineStr">
        <is>
          <t>ZUMBA SESSION</t>
        </is>
      </c>
      <c r="E29" s="11" t="inlineStr">
        <is>
          <t>15-Min Feel-Good Latin Zumba Party (Knee-Friendly, Low Impact)</t>
        </is>
      </c>
      <c r="F29" s="12" t="n">
        <v>15</v>
      </c>
      <c r="G29" s="12" t="n">
        <v>105</v>
      </c>
      <c r="H29" s="11" t="inlineStr">
        <is>
          <t>Latin Fiesta Dance</t>
        </is>
      </c>
      <c r="I29" s="11" t="inlineStr">
        <is>
          <t>2 minutes easy hip circles and gentle arm sweeps. Gentle Latin rhythms (Merengue, Salsa, Bachata). Keep knees soft and absorb rhythm naturally.</t>
        </is>
      </c>
      <c r="J29" s="11" t="inlineStr">
        <is>
          <t>Merengue 6-Count March (4 mins) • Salsa Forward &amp; Back Step (4 mins) • Reggaeton Gentle Bounce (3 mins) • Bachata Side Touch (4 mins)</t>
        </is>
      </c>
      <c r="K29" s="11" t="inlineStr">
        <is>
          <t>3 minutes calm swaying and calf stretch.</t>
        </is>
      </c>
      <c r="L29" s="11" t="inlineStr">
        <is>
          <t>Chair-supported dance steps holding dining table or chair back.</t>
        </is>
      </c>
      <c r="M29" s="11" t="inlineStr">
        <is>
          <t>https://www.youtube.com/results?search_query=15+minute+easy+zumba+dance+workout+for+beginners+low+impact</t>
        </is>
      </c>
    </row>
    <row r="30" ht="32" customHeight="1">
      <c r="A30" s="10" t="inlineStr">
        <is>
          <t>2026-11-21</t>
        </is>
      </c>
      <c r="B30" s="10" t="n">
        <v>29</v>
      </c>
      <c r="C30" s="10" t="inlineStr">
        <is>
          <t>Saturday</t>
        </is>
      </c>
      <c r="D30" s="13" t="inlineStr">
        <is>
          <t>REST DAY</t>
        </is>
      </c>
      <c r="E30" s="11" t="inlineStr">
        <is>
          <t>REST DAY — Rest, Recover &amp; Nourish ❤️</t>
        </is>
      </c>
      <c r="F30" s="12" t="n">
        <v>0</v>
      </c>
      <c r="G30" s="12" t="n">
        <v>0</v>
      </c>
      <c r="H30" s="11" t="inlineStr">
        <is>
          <t>Restorative Rest</t>
        </is>
      </c>
      <c r="I30" s="11" t="inlineStr">
        <is>
          <t>Scheduled REST DAY (Saturday) — Muscle recovery, sleep &amp; nervous system rest. Zero workout pressure! ❤️</t>
        </is>
      </c>
      <c r="J30" s="11" t="inlineStr">
        <is>
          <t>Zero workout assigned. Rest is 100% productive and honored. Keep hydration &amp; comfortable meals.</t>
        </is>
      </c>
      <c r="K30" s="11" t="inlineStr">
        <is>
          <t>Hand on heart, deep peaceful breathing, soothing chamomile or warm water.</t>
        </is>
      </c>
      <c r="L30" s="11" t="inlineStr">
        <is>
          <t>Optional gentle stroll around room if desired, never mandatory.</t>
        </is>
      </c>
      <c r="M30" s="11" t="inlineStr">
        <is>
          <t>N/A (Scheduled Rest Day)</t>
        </is>
      </c>
    </row>
    <row r="31" ht="32" customHeight="1">
      <c r="A31" s="10" t="inlineStr">
        <is>
          <t>2026-11-22</t>
        </is>
      </c>
      <c r="B31" s="10" t="n">
        <v>30</v>
      </c>
      <c r="C31" s="10" t="inlineStr">
        <is>
          <t>Sunday</t>
        </is>
      </c>
      <c r="D31" s="13" t="inlineStr">
        <is>
          <t>REST DAY</t>
        </is>
      </c>
      <c r="E31" s="11" t="inlineStr">
        <is>
          <t>REST DAY — Rest, Recover &amp; Nourish ❤️</t>
        </is>
      </c>
      <c r="F31" s="12" t="n">
        <v>0</v>
      </c>
      <c r="G31" s="12" t="n">
        <v>0</v>
      </c>
      <c r="H31" s="11" t="inlineStr">
        <is>
          <t>Restorative Rest</t>
        </is>
      </c>
      <c r="I31" s="11" t="inlineStr">
        <is>
          <t>Scheduled REST DAY (Sunday) — Muscle recovery, sleep &amp; nervous system rest. Zero workout pressure! ❤️</t>
        </is>
      </c>
      <c r="J31" s="11" t="inlineStr">
        <is>
          <t>Zero workout assigned. Rest is 100% productive and honored. Keep hydration &amp; comfortable meals.</t>
        </is>
      </c>
      <c r="K31" s="11" t="inlineStr">
        <is>
          <t>Hand on heart, deep peaceful breathing, soothing chamomile or warm water.</t>
        </is>
      </c>
      <c r="L31" s="11" t="inlineStr">
        <is>
          <t>Optional gentle stroll around room if desired, never mandatory.</t>
        </is>
      </c>
      <c r="M31" s="11" t="inlineStr">
        <is>
          <t>N/A (Scheduled Rest Day)</t>
        </is>
      </c>
    </row>
    <row r="32" ht="32" customHeight="1">
      <c r="A32" s="10" t="inlineStr">
        <is>
          <t>2026-11-23</t>
        </is>
      </c>
      <c r="B32" s="10" t="n">
        <v>31</v>
      </c>
      <c r="C32" s="10" t="inlineStr">
        <is>
          <t>Monday</t>
        </is>
      </c>
      <c r="D32" s="14" t="inlineStr">
        <is>
          <t>ZUMBA SESSION</t>
        </is>
      </c>
      <c r="E32" s="11" t="inlineStr">
        <is>
          <t>18-Min Upbeat Bollywood &amp; Latin Zumba Dance Cardio</t>
        </is>
      </c>
      <c r="F32" s="12" t="n">
        <v>18</v>
      </c>
      <c r="G32" s="12" t="n">
        <v>135</v>
      </c>
      <c r="H32" s="11" t="inlineStr">
        <is>
          <t>Bollywood Cardio Fusion</t>
        </is>
      </c>
      <c r="I32" s="11" t="inlineStr">
        <is>
          <t>3 minutes rhythmic pacing and shoulder rolls. Higher energetic flow! Great for releasing stress, elevating mood, and building stamina through joyful dance.</t>
        </is>
      </c>
      <c r="J32" s="11" t="inlineStr">
        <is>
          <t>Bollywood Balle Balle Step (5 mins) • Salsa Cross Step (5 mins) • Mambo Front &amp; Back (4 mins) • Chassé &amp; Clap (4 mins)</t>
        </is>
      </c>
      <c r="K32" s="11" t="inlineStr">
        <is>
          <t>2 minutes slow dance sway and hamstring release.</t>
        </is>
      </c>
      <c r="L32" s="11" t="inlineStr">
        <is>
          <t>Lower the bounce or take steps smaller whenever you need a breather.</t>
        </is>
      </c>
      <c r="M32" s="11" t="inlineStr">
        <is>
          <t>https://www.youtube.com/results?search_query=20+minute+bollywood+zumba+dance+fitness+at+home</t>
        </is>
      </c>
    </row>
    <row r="33" ht="32" customHeight="1">
      <c r="A33" s="10" t="inlineStr">
        <is>
          <t>2026-11-24</t>
        </is>
      </c>
      <c r="B33" s="10" t="n">
        <v>32</v>
      </c>
      <c r="C33" s="10" t="inlineStr">
        <is>
          <t>Tuesday</t>
        </is>
      </c>
      <c r="D33" s="14" t="inlineStr">
        <is>
          <t>ZUMBA SESSION</t>
        </is>
      </c>
      <c r="E33" s="11" t="inlineStr">
        <is>
          <t>18-Min Joyful Retro Pop &amp; Dance Hits Zumba Session</t>
        </is>
      </c>
      <c r="F33" s="12" t="n">
        <v>18</v>
      </c>
      <c r="G33" s="12" t="n">
        <v>130</v>
      </c>
      <c r="H33" s="11" t="inlineStr">
        <is>
          <t>Retro Pop Dance</t>
        </is>
      </c>
      <c r="I33" s="11" t="inlineStr">
        <is>
          <t>2 minutes torso roll and ankle circles. Catchy retro and pop dance beats. Dance like nobody is watching in the comfort of your living room!</t>
        </is>
      </c>
      <c r="J33" s="11" t="inlineStr">
        <is>
          <t>Grapevine Step &amp; Tap (5 mins) • Disco Point &amp; Sway (4 mins) • Cha-Cha Footwork (5 mins) • High-Five Arm Jive (4 mins)</t>
        </is>
      </c>
      <c r="K33" s="11" t="inlineStr">
        <is>
          <t>3 minutes soothing deep breathing and upper back release.</t>
        </is>
      </c>
      <c r="L33" s="11" t="inlineStr">
        <is>
          <t>Seated arm jive and gentle seated sway.</t>
        </is>
      </c>
      <c r="M33" s="11" t="inlineStr">
        <is>
          <t>https://www.youtube.com/results?search_query=20+minute+retro+pop+dance+workout+fun+women</t>
        </is>
      </c>
    </row>
    <row r="34" ht="32" customHeight="1">
      <c r="A34" s="10" t="inlineStr">
        <is>
          <t>2026-11-25</t>
        </is>
      </c>
      <c r="B34" s="10" t="n">
        <v>33</v>
      </c>
      <c r="C34" s="10" t="inlineStr">
        <is>
          <t>Wednesday</t>
        </is>
      </c>
      <c r="D34" s="13" t="inlineStr">
        <is>
          <t>REST DAY</t>
        </is>
      </c>
      <c r="E34" s="11" t="inlineStr">
        <is>
          <t>REST DAY — Rest, Recover &amp; Nourish ❤️</t>
        </is>
      </c>
      <c r="F34" s="12" t="n">
        <v>0</v>
      </c>
      <c r="G34" s="12" t="n">
        <v>0</v>
      </c>
      <c r="H34" s="11" t="inlineStr">
        <is>
          <t>Restorative Rest</t>
        </is>
      </c>
      <c r="I34" s="11" t="inlineStr">
        <is>
          <t>Scheduled REST DAY (Wednesday) — Muscle recovery, sleep &amp; nervous system rest. Zero workout pressure! ❤️</t>
        </is>
      </c>
      <c r="J34" s="11" t="inlineStr">
        <is>
          <t>Zero workout assigned. Rest is 100% productive and honored. Keep hydration &amp; comfortable meals.</t>
        </is>
      </c>
      <c r="K34" s="11" t="inlineStr">
        <is>
          <t>Hand on heart, deep peaceful breathing, soothing chamomile or warm water.</t>
        </is>
      </c>
      <c r="L34" s="11" t="inlineStr">
        <is>
          <t>Optional gentle stroll around room if desired, never mandatory.</t>
        </is>
      </c>
      <c r="M34" s="11" t="inlineStr">
        <is>
          <t>N/A (Scheduled Rest Day)</t>
        </is>
      </c>
    </row>
    <row r="35" ht="32" customHeight="1">
      <c r="A35" s="10" t="inlineStr">
        <is>
          <t>2026-11-26</t>
        </is>
      </c>
      <c r="B35" s="10" t="n">
        <v>34</v>
      </c>
      <c r="C35" s="10" t="inlineStr">
        <is>
          <t>Thursday</t>
        </is>
      </c>
      <c r="D35" s="14" t="inlineStr">
        <is>
          <t>ZUMBA SESSION</t>
        </is>
      </c>
      <c r="E35" s="11" t="inlineStr">
        <is>
          <t>18-Min Upbeat Bollywood &amp; Latin Zumba Dance Cardio</t>
        </is>
      </c>
      <c r="F35" s="12" t="n">
        <v>18</v>
      </c>
      <c r="G35" s="12" t="n">
        <v>135</v>
      </c>
      <c r="H35" s="11" t="inlineStr">
        <is>
          <t>Bollywood Cardio Fusion</t>
        </is>
      </c>
      <c r="I35" s="11" t="inlineStr">
        <is>
          <t>3 minutes rhythmic pacing and shoulder rolls. Higher energetic flow! Great for releasing stress, elevating mood, and building stamina through joyful dance.</t>
        </is>
      </c>
      <c r="J35" s="11" t="inlineStr">
        <is>
          <t>Bollywood Balle Balle Step (5 mins) • Salsa Cross Step (5 mins) • Mambo Front &amp; Back (4 mins) • Chassé &amp; Clap (4 mins)</t>
        </is>
      </c>
      <c r="K35" s="11" t="inlineStr">
        <is>
          <t>2 minutes slow dance sway and hamstring release.</t>
        </is>
      </c>
      <c r="L35" s="11" t="inlineStr">
        <is>
          <t>Lower the bounce or take steps smaller whenever you need a breather.</t>
        </is>
      </c>
      <c r="M35" s="11" t="inlineStr">
        <is>
          <t>https://www.youtube.com/results?search_query=20+minute+bollywood+zumba+dance+fitness+at+home</t>
        </is>
      </c>
    </row>
    <row r="36" ht="32" customHeight="1">
      <c r="A36" s="10" t="inlineStr">
        <is>
          <t>2026-11-27</t>
        </is>
      </c>
      <c r="B36" s="10" t="n">
        <v>35</v>
      </c>
      <c r="C36" s="10" t="inlineStr">
        <is>
          <t>Friday</t>
        </is>
      </c>
      <c r="D36" s="14" t="inlineStr">
        <is>
          <t>ZUMBA SESSION</t>
        </is>
      </c>
      <c r="E36" s="11" t="inlineStr">
        <is>
          <t>18-Min Joyful Retro Pop &amp; Dance Hits Zumba Session</t>
        </is>
      </c>
      <c r="F36" s="12" t="n">
        <v>18</v>
      </c>
      <c r="G36" s="12" t="n">
        <v>130</v>
      </c>
      <c r="H36" s="11" t="inlineStr">
        <is>
          <t>Retro Pop Dance</t>
        </is>
      </c>
      <c r="I36" s="11" t="inlineStr">
        <is>
          <t>2 minutes torso roll and ankle circles. Catchy retro and pop dance beats. Dance like nobody is watching in the comfort of your living room!</t>
        </is>
      </c>
      <c r="J36" s="11" t="inlineStr">
        <is>
          <t>Grapevine Step &amp; Tap (5 mins) • Disco Point &amp; Sway (4 mins) • Cha-Cha Footwork (5 mins) • High-Five Arm Jive (4 mins)</t>
        </is>
      </c>
      <c r="K36" s="11" t="inlineStr">
        <is>
          <t>3 minutes soothing deep breathing and upper back release.</t>
        </is>
      </c>
      <c r="L36" s="11" t="inlineStr">
        <is>
          <t>Seated arm jive and gentle seated sway.</t>
        </is>
      </c>
      <c r="M36" s="11" t="inlineStr">
        <is>
          <t>https://www.youtube.com/results?search_query=20+minute+retro+pop+dance+workout+fun+women</t>
        </is>
      </c>
    </row>
    <row r="37" ht="32" customHeight="1">
      <c r="A37" s="10" t="inlineStr">
        <is>
          <t>2026-11-28</t>
        </is>
      </c>
      <c r="B37" s="10" t="n">
        <v>36</v>
      </c>
      <c r="C37" s="10" t="inlineStr">
        <is>
          <t>Saturday</t>
        </is>
      </c>
      <c r="D37" s="13" t="inlineStr">
        <is>
          <t>REST DAY</t>
        </is>
      </c>
      <c r="E37" s="11" t="inlineStr">
        <is>
          <t>REST DAY — Rest, Recover &amp; Nourish ❤️</t>
        </is>
      </c>
      <c r="F37" s="12" t="n">
        <v>0</v>
      </c>
      <c r="G37" s="12" t="n">
        <v>0</v>
      </c>
      <c r="H37" s="11" t="inlineStr">
        <is>
          <t>Restorative Rest</t>
        </is>
      </c>
      <c r="I37" s="11" t="inlineStr">
        <is>
          <t>Scheduled REST DAY (Saturday) — Muscle recovery, sleep &amp; nervous system rest. Zero workout pressure! ❤️</t>
        </is>
      </c>
      <c r="J37" s="11" t="inlineStr">
        <is>
          <t>Zero workout assigned. Rest is 100% productive and honored. Keep hydration &amp; comfortable meals.</t>
        </is>
      </c>
      <c r="K37" s="11" t="inlineStr">
        <is>
          <t>Hand on heart, deep peaceful breathing, soothing chamomile or warm water.</t>
        </is>
      </c>
      <c r="L37" s="11" t="inlineStr">
        <is>
          <t>Optional gentle stroll around room if desired, never mandatory.</t>
        </is>
      </c>
      <c r="M37" s="11" t="inlineStr">
        <is>
          <t>N/A (Scheduled Rest Day)</t>
        </is>
      </c>
    </row>
    <row r="38" ht="32" customHeight="1">
      <c r="A38" s="10" t="inlineStr">
        <is>
          <t>2026-11-29</t>
        </is>
      </c>
      <c r="B38" s="10" t="n">
        <v>37</v>
      </c>
      <c r="C38" s="10" t="inlineStr">
        <is>
          <t>Sunday</t>
        </is>
      </c>
      <c r="D38" s="13" t="inlineStr">
        <is>
          <t>REST DAY</t>
        </is>
      </c>
      <c r="E38" s="11" t="inlineStr">
        <is>
          <t>REST DAY — Rest, Recover &amp; Nourish ❤️</t>
        </is>
      </c>
      <c r="F38" s="12" t="n">
        <v>0</v>
      </c>
      <c r="G38" s="12" t="n">
        <v>0</v>
      </c>
      <c r="H38" s="11" t="inlineStr">
        <is>
          <t>Restorative Rest</t>
        </is>
      </c>
      <c r="I38" s="11" t="inlineStr">
        <is>
          <t>Scheduled REST DAY (Sunday) — Muscle recovery, sleep &amp; nervous system rest. Zero workout pressure! ❤️</t>
        </is>
      </c>
      <c r="J38" s="11" t="inlineStr">
        <is>
          <t>Zero workout assigned. Rest is 100% productive and honored. Keep hydration &amp; comfortable meals.</t>
        </is>
      </c>
      <c r="K38" s="11" t="inlineStr">
        <is>
          <t>Hand on heart, deep peaceful breathing, soothing chamomile or warm water.</t>
        </is>
      </c>
      <c r="L38" s="11" t="inlineStr">
        <is>
          <t>Optional gentle stroll around room if desired, never mandatory.</t>
        </is>
      </c>
      <c r="M38" s="11" t="inlineStr">
        <is>
          <t>N/A (Scheduled Rest Day)</t>
        </is>
      </c>
    </row>
    <row r="39" ht="32" customHeight="1">
      <c r="A39" s="10" t="inlineStr">
        <is>
          <t>2026-11-30</t>
        </is>
      </c>
      <c r="B39" s="10" t="n">
        <v>38</v>
      </c>
      <c r="C39" s="10" t="inlineStr">
        <is>
          <t>Monday</t>
        </is>
      </c>
      <c r="D39" s="14" t="inlineStr">
        <is>
          <t>ZUMBA SESSION</t>
        </is>
      </c>
      <c r="E39" s="11" t="inlineStr">
        <is>
          <t>18-Min Upbeat Bollywood &amp; Latin Zumba Dance Cardio</t>
        </is>
      </c>
      <c r="F39" s="12" t="n">
        <v>18</v>
      </c>
      <c r="G39" s="12" t="n">
        <v>135</v>
      </c>
      <c r="H39" s="11" t="inlineStr">
        <is>
          <t>Bollywood Cardio Fusion</t>
        </is>
      </c>
      <c r="I39" s="11" t="inlineStr">
        <is>
          <t>3 minutes rhythmic pacing and shoulder rolls. Higher energetic flow! Great for releasing stress, elevating mood, and building stamina through joyful dance.</t>
        </is>
      </c>
      <c r="J39" s="11" t="inlineStr">
        <is>
          <t>Bollywood Balle Balle Step (5 mins) • Salsa Cross Step (5 mins) • Mambo Front &amp; Back (4 mins) • Chassé &amp; Clap (4 mins)</t>
        </is>
      </c>
      <c r="K39" s="11" t="inlineStr">
        <is>
          <t>2 minutes slow dance sway and hamstring release.</t>
        </is>
      </c>
      <c r="L39" s="11" t="inlineStr">
        <is>
          <t>Lower the bounce or take steps smaller whenever you need a breather.</t>
        </is>
      </c>
      <c r="M39" s="11" t="inlineStr">
        <is>
          <t>https://www.youtube.com/results?search_query=20+minute+bollywood+zumba+dance+fitness+at+home</t>
        </is>
      </c>
    </row>
    <row r="40" ht="32" customHeight="1">
      <c r="A40" s="10" t="inlineStr">
        <is>
          <t>2026-12-01</t>
        </is>
      </c>
      <c r="B40" s="10" t="n">
        <v>39</v>
      </c>
      <c r="C40" s="10" t="inlineStr">
        <is>
          <t>Tuesday</t>
        </is>
      </c>
      <c r="D40" s="14" t="inlineStr">
        <is>
          <t>ZUMBA SESSION</t>
        </is>
      </c>
      <c r="E40" s="11" t="inlineStr">
        <is>
          <t>18-Min Joyful Retro Pop &amp; Dance Hits Zumba Session</t>
        </is>
      </c>
      <c r="F40" s="12" t="n">
        <v>18</v>
      </c>
      <c r="G40" s="12" t="n">
        <v>130</v>
      </c>
      <c r="H40" s="11" t="inlineStr">
        <is>
          <t>Retro Pop Dance</t>
        </is>
      </c>
      <c r="I40" s="11" t="inlineStr">
        <is>
          <t>2 minutes torso roll and ankle circles. Catchy retro and pop dance beats. Dance like nobody is watching in the comfort of your living room!</t>
        </is>
      </c>
      <c r="J40" s="11" t="inlineStr">
        <is>
          <t>Grapevine Step &amp; Tap (5 mins) • Disco Point &amp; Sway (4 mins) • Cha-Cha Footwork (5 mins) • High-Five Arm Jive (4 mins)</t>
        </is>
      </c>
      <c r="K40" s="11" t="inlineStr">
        <is>
          <t>3 minutes soothing deep breathing and upper back release.</t>
        </is>
      </c>
      <c r="L40" s="11" t="inlineStr">
        <is>
          <t>Seated arm jive and gentle seated sway.</t>
        </is>
      </c>
      <c r="M40" s="11" t="inlineStr">
        <is>
          <t>https://www.youtube.com/results?search_query=20+minute+retro+pop+dance+workout+fun+women</t>
        </is>
      </c>
    </row>
    <row r="41" ht="32" customHeight="1">
      <c r="A41" s="10" t="inlineStr">
        <is>
          <t>2026-12-02</t>
        </is>
      </c>
      <c r="B41" s="10" t="n">
        <v>40</v>
      </c>
      <c r="C41" s="10" t="inlineStr">
        <is>
          <t>Wednesday</t>
        </is>
      </c>
      <c r="D41" s="13" t="inlineStr">
        <is>
          <t>REST DAY</t>
        </is>
      </c>
      <c r="E41" s="11" t="inlineStr">
        <is>
          <t>REST DAY — Rest, Recover &amp; Nourish ❤️</t>
        </is>
      </c>
      <c r="F41" s="12" t="n">
        <v>0</v>
      </c>
      <c r="G41" s="12" t="n">
        <v>0</v>
      </c>
      <c r="H41" s="11" t="inlineStr">
        <is>
          <t>Restorative Rest</t>
        </is>
      </c>
      <c r="I41" s="11" t="inlineStr">
        <is>
          <t>Scheduled REST DAY (Wednesday) — Muscle recovery, sleep &amp; nervous system rest. Zero workout pressure! ❤️</t>
        </is>
      </c>
      <c r="J41" s="11" t="inlineStr">
        <is>
          <t>Zero workout assigned. Rest is 100% productive and honored. Keep hydration &amp; comfortable meals.</t>
        </is>
      </c>
      <c r="K41" s="11" t="inlineStr">
        <is>
          <t>Hand on heart, deep peaceful breathing, soothing chamomile or warm water.</t>
        </is>
      </c>
      <c r="L41" s="11" t="inlineStr">
        <is>
          <t>Optional gentle stroll around room if desired, never mandatory.</t>
        </is>
      </c>
      <c r="M41" s="11" t="inlineStr">
        <is>
          <t>N/A (Scheduled Rest Day)</t>
        </is>
      </c>
    </row>
    <row r="42" ht="32" customHeight="1">
      <c r="A42" s="10" t="inlineStr">
        <is>
          <t>2026-12-03</t>
        </is>
      </c>
      <c r="B42" s="10" t="n">
        <v>41</v>
      </c>
      <c r="C42" s="10" t="inlineStr">
        <is>
          <t>Thursday</t>
        </is>
      </c>
      <c r="D42" s="14" t="inlineStr">
        <is>
          <t>ZUMBA SESSION</t>
        </is>
      </c>
      <c r="E42" s="11" t="inlineStr">
        <is>
          <t>18-Min Upbeat Bollywood &amp; Latin Zumba Dance Cardio</t>
        </is>
      </c>
      <c r="F42" s="12" t="n">
        <v>18</v>
      </c>
      <c r="G42" s="12" t="n">
        <v>135</v>
      </c>
      <c r="H42" s="11" t="inlineStr">
        <is>
          <t>Bollywood Cardio Fusion</t>
        </is>
      </c>
      <c r="I42" s="11" t="inlineStr">
        <is>
          <t>3 minutes rhythmic pacing and shoulder rolls. Higher energetic flow! Great for releasing stress, elevating mood, and building stamina through joyful dance.</t>
        </is>
      </c>
      <c r="J42" s="11" t="inlineStr">
        <is>
          <t>Bollywood Balle Balle Step (5 mins) • Salsa Cross Step (5 mins) • Mambo Front &amp; Back (4 mins) • Chassé &amp; Clap (4 mins)</t>
        </is>
      </c>
      <c r="K42" s="11" t="inlineStr">
        <is>
          <t>2 minutes slow dance sway and hamstring release.</t>
        </is>
      </c>
      <c r="L42" s="11" t="inlineStr">
        <is>
          <t>Lower the bounce or take steps smaller whenever you need a breather.</t>
        </is>
      </c>
      <c r="M42" s="11" t="inlineStr">
        <is>
          <t>https://www.youtube.com/results?search_query=20+minute+bollywood+zumba+dance+fitness+at+home</t>
        </is>
      </c>
    </row>
    <row r="43" ht="32" customHeight="1">
      <c r="A43" s="10" t="inlineStr">
        <is>
          <t>2026-12-04</t>
        </is>
      </c>
      <c r="B43" s="10" t="n">
        <v>42</v>
      </c>
      <c r="C43" s="10" t="inlineStr">
        <is>
          <t>Friday</t>
        </is>
      </c>
      <c r="D43" s="14" t="inlineStr">
        <is>
          <t>ZUMBA SESSION</t>
        </is>
      </c>
      <c r="E43" s="11" t="inlineStr">
        <is>
          <t>18-Min Joyful Retro Pop &amp; Dance Hits Zumba Session</t>
        </is>
      </c>
      <c r="F43" s="12" t="n">
        <v>18</v>
      </c>
      <c r="G43" s="12" t="n">
        <v>130</v>
      </c>
      <c r="H43" s="11" t="inlineStr">
        <is>
          <t>Retro Pop Dance</t>
        </is>
      </c>
      <c r="I43" s="11" t="inlineStr">
        <is>
          <t>2 minutes torso roll and ankle circles. Catchy retro and pop dance beats. Dance like nobody is watching in the comfort of your living room!</t>
        </is>
      </c>
      <c r="J43" s="11" t="inlineStr">
        <is>
          <t>Grapevine Step &amp; Tap (5 mins) • Disco Point &amp; Sway (4 mins) • Cha-Cha Footwork (5 mins) • High-Five Arm Jive (4 mins)</t>
        </is>
      </c>
      <c r="K43" s="11" t="inlineStr">
        <is>
          <t>3 minutes soothing deep breathing and upper back release.</t>
        </is>
      </c>
      <c r="L43" s="11" t="inlineStr">
        <is>
          <t>Seated arm jive and gentle seated sway.</t>
        </is>
      </c>
      <c r="M43" s="11" t="inlineStr">
        <is>
          <t>https://www.youtube.com/results?search_query=20+minute+retro+pop+dance+workout+fun+women</t>
        </is>
      </c>
    </row>
    <row r="44" ht="32" customHeight="1">
      <c r="A44" s="10" t="inlineStr">
        <is>
          <t>2026-12-05</t>
        </is>
      </c>
      <c r="B44" s="10" t="n">
        <v>43</v>
      </c>
      <c r="C44" s="10" t="inlineStr">
        <is>
          <t>Saturday</t>
        </is>
      </c>
      <c r="D44" s="13" t="inlineStr">
        <is>
          <t>REST DAY</t>
        </is>
      </c>
      <c r="E44" s="11" t="inlineStr">
        <is>
          <t>REST DAY — Rest, Recover &amp; Nourish ❤️</t>
        </is>
      </c>
      <c r="F44" s="12" t="n">
        <v>0</v>
      </c>
      <c r="G44" s="12" t="n">
        <v>0</v>
      </c>
      <c r="H44" s="11" t="inlineStr">
        <is>
          <t>Restorative Rest</t>
        </is>
      </c>
      <c r="I44" s="11" t="inlineStr">
        <is>
          <t>Scheduled REST DAY (Saturday) — Muscle recovery, sleep &amp; nervous system rest. Zero workout pressure! ❤️</t>
        </is>
      </c>
      <c r="J44" s="11" t="inlineStr">
        <is>
          <t>Zero workout assigned. Rest is 100% productive and honored. Keep hydration &amp; comfortable meals.</t>
        </is>
      </c>
      <c r="K44" s="11" t="inlineStr">
        <is>
          <t>Hand on heart, deep peaceful breathing, soothing chamomile or warm water.</t>
        </is>
      </c>
      <c r="L44" s="11" t="inlineStr">
        <is>
          <t>Optional gentle stroll around room if desired, never mandatory.</t>
        </is>
      </c>
      <c r="M44" s="11" t="inlineStr">
        <is>
          <t>N/A (Scheduled Rest Day)</t>
        </is>
      </c>
    </row>
    <row r="45" ht="32" customHeight="1">
      <c r="A45" s="10" t="inlineStr">
        <is>
          <t>2026-12-06</t>
        </is>
      </c>
      <c r="B45" s="10" t="n">
        <v>44</v>
      </c>
      <c r="C45" s="10" t="inlineStr">
        <is>
          <t>Sunday</t>
        </is>
      </c>
      <c r="D45" s="13" t="inlineStr">
        <is>
          <t>REST DAY</t>
        </is>
      </c>
      <c r="E45" s="11" t="inlineStr">
        <is>
          <t>REST DAY — Rest, Recover &amp; Nourish ❤️</t>
        </is>
      </c>
      <c r="F45" s="12" t="n">
        <v>0</v>
      </c>
      <c r="G45" s="12" t="n">
        <v>0</v>
      </c>
      <c r="H45" s="11" t="inlineStr">
        <is>
          <t>Restorative Rest</t>
        </is>
      </c>
      <c r="I45" s="11" t="inlineStr">
        <is>
          <t>Scheduled REST DAY (Sunday) — Muscle recovery, sleep &amp; nervous system rest. Zero workout pressure! ❤️</t>
        </is>
      </c>
      <c r="J45" s="11" t="inlineStr">
        <is>
          <t>Zero workout assigned. Rest is 100% productive and honored. Keep hydration &amp; comfortable meals.</t>
        </is>
      </c>
      <c r="K45" s="11" t="inlineStr">
        <is>
          <t>Hand on heart, deep peaceful breathing, soothing chamomile or warm water.</t>
        </is>
      </c>
      <c r="L45" s="11" t="inlineStr">
        <is>
          <t>Optional gentle stroll around room if desired, never mandatory.</t>
        </is>
      </c>
      <c r="M45" s="11" t="inlineStr">
        <is>
          <t>N/A (Scheduled Rest Day)</t>
        </is>
      </c>
    </row>
    <row r="46" ht="32" customHeight="1">
      <c r="A46" s="10" t="inlineStr">
        <is>
          <t>2026-12-07</t>
        </is>
      </c>
      <c r="B46" s="10" t="n">
        <v>45</v>
      </c>
      <c r="C46" s="10" t="inlineStr">
        <is>
          <t>Monday</t>
        </is>
      </c>
      <c r="D46" s="14" t="inlineStr">
        <is>
          <t>ZUMBA SESSION</t>
        </is>
      </c>
      <c r="E46" s="11" t="inlineStr">
        <is>
          <t>18-Min Upbeat Bollywood &amp; Latin Zumba Dance Cardio</t>
        </is>
      </c>
      <c r="F46" s="12" t="n">
        <v>18</v>
      </c>
      <c r="G46" s="12" t="n">
        <v>135</v>
      </c>
      <c r="H46" s="11" t="inlineStr">
        <is>
          <t>Bollywood Cardio Fusion</t>
        </is>
      </c>
      <c r="I46" s="11" t="inlineStr">
        <is>
          <t>3 minutes rhythmic pacing and shoulder rolls. Higher energetic flow! Great for releasing stress, elevating mood, and building stamina through joyful dance.</t>
        </is>
      </c>
      <c r="J46" s="11" t="inlineStr">
        <is>
          <t>Bollywood Balle Balle Step (5 mins) • Salsa Cross Step (5 mins) • Mambo Front &amp; Back (4 mins) • Chassé &amp; Clap (4 mins)</t>
        </is>
      </c>
      <c r="K46" s="11" t="inlineStr">
        <is>
          <t>2 minutes slow dance sway and hamstring release.</t>
        </is>
      </c>
      <c r="L46" s="11" t="inlineStr">
        <is>
          <t>Lower the bounce or take steps smaller whenever you need a breather.</t>
        </is>
      </c>
      <c r="M46" s="11" t="inlineStr">
        <is>
          <t>https://www.youtube.com/results?search_query=20+minute+bollywood+zumba+dance+fitness+at+home</t>
        </is>
      </c>
    </row>
    <row r="47" ht="32" customHeight="1">
      <c r="A47" s="10" t="inlineStr">
        <is>
          <t>2026-12-08</t>
        </is>
      </c>
      <c r="B47" s="10" t="n">
        <v>46</v>
      </c>
      <c r="C47" s="10" t="inlineStr">
        <is>
          <t>Tuesday</t>
        </is>
      </c>
      <c r="D47" s="14" t="inlineStr">
        <is>
          <t>ZUMBA SESSION</t>
        </is>
      </c>
      <c r="E47" s="11" t="inlineStr">
        <is>
          <t>18-Min Joyful Retro Pop &amp; Dance Hits Zumba Session</t>
        </is>
      </c>
      <c r="F47" s="12" t="n">
        <v>18</v>
      </c>
      <c r="G47" s="12" t="n">
        <v>130</v>
      </c>
      <c r="H47" s="11" t="inlineStr">
        <is>
          <t>Retro Pop Dance</t>
        </is>
      </c>
      <c r="I47" s="11" t="inlineStr">
        <is>
          <t>2 minutes torso roll and ankle circles. Catchy retro and pop dance beats. Dance like nobody is watching in the comfort of your living room!</t>
        </is>
      </c>
      <c r="J47" s="11" t="inlineStr">
        <is>
          <t>Grapevine Step &amp; Tap (5 mins) • Disco Point &amp; Sway (4 mins) • Cha-Cha Footwork (5 mins) • High-Five Arm Jive (4 mins)</t>
        </is>
      </c>
      <c r="K47" s="11" t="inlineStr">
        <is>
          <t>3 minutes soothing deep breathing and upper back release.</t>
        </is>
      </c>
      <c r="L47" s="11" t="inlineStr">
        <is>
          <t>Seated arm jive and gentle seated sway.</t>
        </is>
      </c>
      <c r="M47" s="11" t="inlineStr">
        <is>
          <t>https://www.youtube.com/results?search_query=20+minute+retro+pop+dance+workout+fun+women</t>
        </is>
      </c>
    </row>
    <row r="48" ht="32" customHeight="1">
      <c r="A48" s="10" t="inlineStr">
        <is>
          <t>2026-12-09</t>
        </is>
      </c>
      <c r="B48" s="10" t="n">
        <v>47</v>
      </c>
      <c r="C48" s="10" t="inlineStr">
        <is>
          <t>Wednesday</t>
        </is>
      </c>
      <c r="D48" s="13" t="inlineStr">
        <is>
          <t>REST DAY</t>
        </is>
      </c>
      <c r="E48" s="11" t="inlineStr">
        <is>
          <t>REST DAY — Rest, Recover &amp; Nourish ❤️</t>
        </is>
      </c>
      <c r="F48" s="12" t="n">
        <v>0</v>
      </c>
      <c r="G48" s="12" t="n">
        <v>0</v>
      </c>
      <c r="H48" s="11" t="inlineStr">
        <is>
          <t>Restorative Rest</t>
        </is>
      </c>
      <c r="I48" s="11" t="inlineStr">
        <is>
          <t>Scheduled REST DAY (Wednesday) — Muscle recovery, sleep &amp; nervous system rest. Zero workout pressure! ❤️</t>
        </is>
      </c>
      <c r="J48" s="11" t="inlineStr">
        <is>
          <t>Zero workout assigned. Rest is 100% productive and honored. Keep hydration &amp; comfortable meals.</t>
        </is>
      </c>
      <c r="K48" s="11" t="inlineStr">
        <is>
          <t>Hand on heart, deep peaceful breathing, soothing chamomile or warm water.</t>
        </is>
      </c>
      <c r="L48" s="11" t="inlineStr">
        <is>
          <t>Optional gentle stroll around room if desired, never mandatory.</t>
        </is>
      </c>
      <c r="M48" s="11" t="inlineStr">
        <is>
          <t>N/A (Scheduled Rest Day)</t>
        </is>
      </c>
    </row>
    <row r="49" ht="32" customHeight="1">
      <c r="A49" s="10" t="inlineStr">
        <is>
          <t>2026-12-10</t>
        </is>
      </c>
      <c r="B49" s="10" t="n">
        <v>48</v>
      </c>
      <c r="C49" s="10" t="inlineStr">
        <is>
          <t>Thursday</t>
        </is>
      </c>
      <c r="D49" s="14" t="inlineStr">
        <is>
          <t>ZUMBA SESSION</t>
        </is>
      </c>
      <c r="E49" s="11" t="inlineStr">
        <is>
          <t>18-Min Upbeat Bollywood &amp; Latin Zumba Dance Cardio</t>
        </is>
      </c>
      <c r="F49" s="12" t="n">
        <v>18</v>
      </c>
      <c r="G49" s="12" t="n">
        <v>135</v>
      </c>
      <c r="H49" s="11" t="inlineStr">
        <is>
          <t>Bollywood Cardio Fusion</t>
        </is>
      </c>
      <c r="I49" s="11" t="inlineStr">
        <is>
          <t>3 minutes rhythmic pacing and shoulder rolls. Higher energetic flow! Great for releasing stress, elevating mood, and building stamina through joyful dance.</t>
        </is>
      </c>
      <c r="J49" s="11" t="inlineStr">
        <is>
          <t>Bollywood Balle Balle Step (5 mins) • Salsa Cross Step (5 mins) • Mambo Front &amp; Back (4 mins) • Chassé &amp; Clap (4 mins)</t>
        </is>
      </c>
      <c r="K49" s="11" t="inlineStr">
        <is>
          <t>2 minutes slow dance sway and hamstring release.</t>
        </is>
      </c>
      <c r="L49" s="11" t="inlineStr">
        <is>
          <t>Lower the bounce or take steps smaller whenever you need a breather.</t>
        </is>
      </c>
      <c r="M49" s="11" t="inlineStr">
        <is>
          <t>https://www.youtube.com/results?search_query=20+minute+bollywood+zumba+dance+fitness+at+home</t>
        </is>
      </c>
    </row>
    <row r="50" ht="32" customHeight="1">
      <c r="A50" s="10" t="inlineStr">
        <is>
          <t>2026-12-11</t>
        </is>
      </c>
      <c r="B50" s="10" t="n">
        <v>49</v>
      </c>
      <c r="C50" s="10" t="inlineStr">
        <is>
          <t>Friday</t>
        </is>
      </c>
      <c r="D50" s="14" t="inlineStr">
        <is>
          <t>ZUMBA SESSION</t>
        </is>
      </c>
      <c r="E50" s="11" t="inlineStr">
        <is>
          <t>18-Min Joyful Retro Pop &amp; Dance Hits Zumba Session</t>
        </is>
      </c>
      <c r="F50" s="12" t="n">
        <v>18</v>
      </c>
      <c r="G50" s="12" t="n">
        <v>130</v>
      </c>
      <c r="H50" s="11" t="inlineStr">
        <is>
          <t>Retro Pop Dance</t>
        </is>
      </c>
      <c r="I50" s="11" t="inlineStr">
        <is>
          <t>2 minutes torso roll and ankle circles. Catchy retro and pop dance beats. Dance like nobody is watching in the comfort of your living room!</t>
        </is>
      </c>
      <c r="J50" s="11" t="inlineStr">
        <is>
          <t>Grapevine Step &amp; Tap (5 mins) • Disco Point &amp; Sway (4 mins) • Cha-Cha Footwork (5 mins) • High-Five Arm Jive (4 mins)</t>
        </is>
      </c>
      <c r="K50" s="11" t="inlineStr">
        <is>
          <t>3 minutes soothing deep breathing and upper back release.</t>
        </is>
      </c>
      <c r="L50" s="11" t="inlineStr">
        <is>
          <t>Seated arm jive and gentle seated sway.</t>
        </is>
      </c>
      <c r="M50" s="11" t="inlineStr">
        <is>
          <t>https://www.youtube.com/results?search_query=20+minute+retro+pop+dance+workout+fun+women</t>
        </is>
      </c>
    </row>
    <row r="51" ht="32" customHeight="1">
      <c r="A51" s="10" t="inlineStr">
        <is>
          <t>2026-12-12</t>
        </is>
      </c>
      <c r="B51" s="10" t="n">
        <v>50</v>
      </c>
      <c r="C51" s="10" t="inlineStr">
        <is>
          <t>Saturday</t>
        </is>
      </c>
      <c r="D51" s="13" t="inlineStr">
        <is>
          <t>REST DAY</t>
        </is>
      </c>
      <c r="E51" s="11" t="inlineStr">
        <is>
          <t>REST DAY — Rest, Recover &amp; Nourish ❤️</t>
        </is>
      </c>
      <c r="F51" s="12" t="n">
        <v>0</v>
      </c>
      <c r="G51" s="12" t="n">
        <v>0</v>
      </c>
      <c r="H51" s="11" t="inlineStr">
        <is>
          <t>Restorative Rest</t>
        </is>
      </c>
      <c r="I51" s="11" t="inlineStr">
        <is>
          <t>Scheduled REST DAY (Saturday) — Muscle recovery, sleep &amp; nervous system rest. Zero workout pressure! ❤️</t>
        </is>
      </c>
      <c r="J51" s="11" t="inlineStr">
        <is>
          <t>Zero workout assigned. Rest is 100% productive and honored. Keep hydration &amp; comfortable meals.</t>
        </is>
      </c>
      <c r="K51" s="11" t="inlineStr">
        <is>
          <t>Hand on heart, deep peaceful breathing, soothing chamomile or warm water.</t>
        </is>
      </c>
      <c r="L51" s="11" t="inlineStr">
        <is>
          <t>Optional gentle stroll around room if desired, never mandatory.</t>
        </is>
      </c>
      <c r="M51" s="11" t="inlineStr">
        <is>
          <t>N/A (Scheduled Rest Day)</t>
        </is>
      </c>
    </row>
    <row r="52" ht="32" customHeight="1">
      <c r="A52" s="10" t="inlineStr">
        <is>
          <t>2026-12-13</t>
        </is>
      </c>
      <c r="B52" s="10" t="n">
        <v>51</v>
      </c>
      <c r="C52" s="10" t="inlineStr">
        <is>
          <t>Sunday</t>
        </is>
      </c>
      <c r="D52" s="13" t="inlineStr">
        <is>
          <t>REST DAY</t>
        </is>
      </c>
      <c r="E52" s="11" t="inlineStr">
        <is>
          <t>REST DAY — Rest, Recover &amp; Nourish ❤️</t>
        </is>
      </c>
      <c r="F52" s="12" t="n">
        <v>0</v>
      </c>
      <c r="G52" s="12" t="n">
        <v>0</v>
      </c>
      <c r="H52" s="11" t="inlineStr">
        <is>
          <t>Restorative Rest</t>
        </is>
      </c>
      <c r="I52" s="11" t="inlineStr">
        <is>
          <t>Scheduled REST DAY (Sunday) — Muscle recovery, sleep &amp; nervous system rest. Zero workout pressure! ❤️</t>
        </is>
      </c>
      <c r="J52" s="11" t="inlineStr">
        <is>
          <t>Zero workout assigned. Rest is 100% productive and honored. Keep hydration &amp; comfortable meals.</t>
        </is>
      </c>
      <c r="K52" s="11" t="inlineStr">
        <is>
          <t>Hand on heart, deep peaceful breathing, soothing chamomile or warm water.</t>
        </is>
      </c>
      <c r="L52" s="11" t="inlineStr">
        <is>
          <t>Optional gentle stroll around room if desired, never mandatory.</t>
        </is>
      </c>
      <c r="M52" s="11" t="inlineStr">
        <is>
          <t>N/A (Scheduled Rest Day)</t>
        </is>
      </c>
    </row>
    <row r="53" ht="32" customHeight="1">
      <c r="A53" s="10" t="inlineStr">
        <is>
          <t>2026-12-14</t>
        </is>
      </c>
      <c r="B53" s="10" t="n">
        <v>52</v>
      </c>
      <c r="C53" s="10" t="inlineStr">
        <is>
          <t>Monday</t>
        </is>
      </c>
      <c r="D53" s="14" t="inlineStr">
        <is>
          <t>ZUMBA SESSION</t>
        </is>
      </c>
      <c r="E53" s="11" t="inlineStr">
        <is>
          <t>18-Min Upbeat Bollywood &amp; Latin Zumba Dance Cardio</t>
        </is>
      </c>
      <c r="F53" s="12" t="n">
        <v>18</v>
      </c>
      <c r="G53" s="12" t="n">
        <v>135</v>
      </c>
      <c r="H53" s="11" t="inlineStr">
        <is>
          <t>Bollywood Cardio Fusion</t>
        </is>
      </c>
      <c r="I53" s="11" t="inlineStr">
        <is>
          <t>3 minutes rhythmic pacing and shoulder rolls. Higher energetic flow! Great for releasing stress, elevating mood, and building stamina through joyful dance.</t>
        </is>
      </c>
      <c r="J53" s="11" t="inlineStr">
        <is>
          <t>Bollywood Balle Balle Step (5 mins) • Salsa Cross Step (5 mins) • Mambo Front &amp; Back (4 mins) • Chassé &amp; Clap (4 mins)</t>
        </is>
      </c>
      <c r="K53" s="11" t="inlineStr">
        <is>
          <t>2 minutes slow dance sway and hamstring release.</t>
        </is>
      </c>
      <c r="L53" s="11" t="inlineStr">
        <is>
          <t>Lower the bounce or take steps smaller whenever you need a breather.</t>
        </is>
      </c>
      <c r="M53" s="11" t="inlineStr">
        <is>
          <t>https://www.youtube.com/results?search_query=20+minute+bollywood+zumba+dance+fitness+at+home</t>
        </is>
      </c>
    </row>
    <row r="54" ht="32" customHeight="1">
      <c r="A54" s="10" t="inlineStr">
        <is>
          <t>2026-12-15</t>
        </is>
      </c>
      <c r="B54" s="10" t="n">
        <v>53</v>
      </c>
      <c r="C54" s="10" t="inlineStr">
        <is>
          <t>Tuesday</t>
        </is>
      </c>
      <c r="D54" s="14" t="inlineStr">
        <is>
          <t>ZUMBA SESSION</t>
        </is>
      </c>
      <c r="E54" s="11" t="inlineStr">
        <is>
          <t>18-Min Joyful Retro Pop &amp; Dance Hits Zumba Session</t>
        </is>
      </c>
      <c r="F54" s="12" t="n">
        <v>18</v>
      </c>
      <c r="G54" s="12" t="n">
        <v>130</v>
      </c>
      <c r="H54" s="11" t="inlineStr">
        <is>
          <t>Retro Pop Dance</t>
        </is>
      </c>
      <c r="I54" s="11" t="inlineStr">
        <is>
          <t>2 minutes torso roll and ankle circles. Catchy retro and pop dance beats. Dance like nobody is watching in the comfort of your living room!</t>
        </is>
      </c>
      <c r="J54" s="11" t="inlineStr">
        <is>
          <t>Grapevine Step &amp; Tap (5 mins) • Disco Point &amp; Sway (4 mins) • Cha-Cha Footwork (5 mins) • High-Five Arm Jive (4 mins)</t>
        </is>
      </c>
      <c r="K54" s="11" t="inlineStr">
        <is>
          <t>3 minutes soothing deep breathing and upper back release.</t>
        </is>
      </c>
      <c r="L54" s="11" t="inlineStr">
        <is>
          <t>Seated arm jive and gentle seated sway.</t>
        </is>
      </c>
      <c r="M54" s="11" t="inlineStr">
        <is>
          <t>https://www.youtube.com/results?search_query=20+minute+retro+pop+dance+workout+fun+women</t>
        </is>
      </c>
    </row>
    <row r="55" ht="32" customHeight="1">
      <c r="A55" s="10" t="inlineStr">
        <is>
          <t>2026-12-16</t>
        </is>
      </c>
      <c r="B55" s="10" t="n">
        <v>54</v>
      </c>
      <c r="C55" s="10" t="inlineStr">
        <is>
          <t>Wednesday</t>
        </is>
      </c>
      <c r="D55" s="13" t="inlineStr">
        <is>
          <t>REST DAY</t>
        </is>
      </c>
      <c r="E55" s="11" t="inlineStr">
        <is>
          <t>REST DAY — Rest, Recover &amp; Nourish ❤️</t>
        </is>
      </c>
      <c r="F55" s="12" t="n">
        <v>0</v>
      </c>
      <c r="G55" s="12" t="n">
        <v>0</v>
      </c>
      <c r="H55" s="11" t="inlineStr">
        <is>
          <t>Restorative Rest</t>
        </is>
      </c>
      <c r="I55" s="11" t="inlineStr">
        <is>
          <t>Scheduled REST DAY (Wednesday) — Muscle recovery, sleep &amp; nervous system rest. Zero workout pressure! ❤️</t>
        </is>
      </c>
      <c r="J55" s="11" t="inlineStr">
        <is>
          <t>Zero workout assigned. Rest is 100% productive and honored. Keep hydration &amp; comfortable meals.</t>
        </is>
      </c>
      <c r="K55" s="11" t="inlineStr">
        <is>
          <t>Hand on heart, deep peaceful breathing, soothing chamomile or warm water.</t>
        </is>
      </c>
      <c r="L55" s="11" t="inlineStr">
        <is>
          <t>Optional gentle stroll around room if desired, never mandatory.</t>
        </is>
      </c>
      <c r="M55" s="11" t="inlineStr">
        <is>
          <t>N/A (Scheduled Rest Day)</t>
        </is>
      </c>
    </row>
    <row r="56" ht="32" customHeight="1">
      <c r="A56" s="10" t="inlineStr">
        <is>
          <t>2026-12-17</t>
        </is>
      </c>
      <c r="B56" s="10" t="n">
        <v>55</v>
      </c>
      <c r="C56" s="10" t="inlineStr">
        <is>
          <t>Thursday</t>
        </is>
      </c>
      <c r="D56" s="14" t="inlineStr">
        <is>
          <t>ZUMBA SESSION</t>
        </is>
      </c>
      <c r="E56" s="11" t="inlineStr">
        <is>
          <t>18-Min Upbeat Bollywood &amp; Latin Zumba Dance Cardio</t>
        </is>
      </c>
      <c r="F56" s="12" t="n">
        <v>18</v>
      </c>
      <c r="G56" s="12" t="n">
        <v>135</v>
      </c>
      <c r="H56" s="11" t="inlineStr">
        <is>
          <t>Bollywood Cardio Fusion</t>
        </is>
      </c>
      <c r="I56" s="11" t="inlineStr">
        <is>
          <t>3 minutes rhythmic pacing and shoulder rolls. Higher energetic flow! Great for releasing stress, elevating mood, and building stamina through joyful dance.</t>
        </is>
      </c>
      <c r="J56" s="11" t="inlineStr">
        <is>
          <t>Bollywood Balle Balle Step (5 mins) • Salsa Cross Step (5 mins) • Mambo Front &amp; Back (4 mins) • Chassé &amp; Clap (4 mins)</t>
        </is>
      </c>
      <c r="K56" s="11" t="inlineStr">
        <is>
          <t>2 minutes slow dance sway and hamstring release.</t>
        </is>
      </c>
      <c r="L56" s="11" t="inlineStr">
        <is>
          <t>Lower the bounce or take steps smaller whenever you need a breather.</t>
        </is>
      </c>
      <c r="M56" s="11" t="inlineStr">
        <is>
          <t>https://www.youtube.com/results?search_query=20+minute+bollywood+zumba+dance+fitness+at+home</t>
        </is>
      </c>
    </row>
    <row r="57" ht="32" customHeight="1">
      <c r="A57" s="10" t="inlineStr">
        <is>
          <t>2026-12-18</t>
        </is>
      </c>
      <c r="B57" s="10" t="n">
        <v>56</v>
      </c>
      <c r="C57" s="10" t="inlineStr">
        <is>
          <t>Friday</t>
        </is>
      </c>
      <c r="D57" s="14" t="inlineStr">
        <is>
          <t>ZUMBA SESSION</t>
        </is>
      </c>
      <c r="E57" s="11" t="inlineStr">
        <is>
          <t>18-Min Joyful Retro Pop &amp; Dance Hits Zumba Session</t>
        </is>
      </c>
      <c r="F57" s="12" t="n">
        <v>18</v>
      </c>
      <c r="G57" s="12" t="n">
        <v>130</v>
      </c>
      <c r="H57" s="11" t="inlineStr">
        <is>
          <t>Retro Pop Dance</t>
        </is>
      </c>
      <c r="I57" s="11" t="inlineStr">
        <is>
          <t>2 minutes torso roll and ankle circles. Catchy retro and pop dance beats. Dance like nobody is watching in the comfort of your living room!</t>
        </is>
      </c>
      <c r="J57" s="11" t="inlineStr">
        <is>
          <t>Grapevine Step &amp; Tap (5 mins) • Disco Point &amp; Sway (4 mins) • Cha-Cha Footwork (5 mins) • High-Five Arm Jive (4 mins)</t>
        </is>
      </c>
      <c r="K57" s="11" t="inlineStr">
        <is>
          <t>3 minutes soothing deep breathing and upper back release.</t>
        </is>
      </c>
      <c r="L57" s="11" t="inlineStr">
        <is>
          <t>Seated arm jive and gentle seated sway.</t>
        </is>
      </c>
      <c r="M57" s="11" t="inlineStr">
        <is>
          <t>https://www.youtube.com/results?search_query=20+minute+retro+pop+dance+workout+fun+women</t>
        </is>
      </c>
    </row>
    <row r="58" ht="32" customHeight="1">
      <c r="A58" s="10" t="inlineStr">
        <is>
          <t>2026-12-19</t>
        </is>
      </c>
      <c r="B58" s="10" t="n">
        <v>57</v>
      </c>
      <c r="C58" s="10" t="inlineStr">
        <is>
          <t>Saturday</t>
        </is>
      </c>
      <c r="D58" s="13" t="inlineStr">
        <is>
          <t>REST DAY</t>
        </is>
      </c>
      <c r="E58" s="11" t="inlineStr">
        <is>
          <t>REST DAY — Rest, Recover &amp; Nourish ❤️</t>
        </is>
      </c>
      <c r="F58" s="12" t="n">
        <v>0</v>
      </c>
      <c r="G58" s="12" t="n">
        <v>0</v>
      </c>
      <c r="H58" s="11" t="inlineStr">
        <is>
          <t>Restorative Rest</t>
        </is>
      </c>
      <c r="I58" s="11" t="inlineStr">
        <is>
          <t>Scheduled REST DAY (Saturday) — Muscle recovery, sleep &amp; nervous system rest. Zero workout pressure! ❤️</t>
        </is>
      </c>
      <c r="J58" s="11" t="inlineStr">
        <is>
          <t>Zero workout assigned. Rest is 100% productive and honored. Keep hydration &amp; comfortable meals.</t>
        </is>
      </c>
      <c r="K58" s="11" t="inlineStr">
        <is>
          <t>Hand on heart, deep peaceful breathing, soothing chamomile or warm water.</t>
        </is>
      </c>
      <c r="L58" s="11" t="inlineStr">
        <is>
          <t>Optional gentle stroll around room if desired, never mandatory.</t>
        </is>
      </c>
      <c r="M58" s="11" t="inlineStr">
        <is>
          <t>N/A (Scheduled Rest Day)</t>
        </is>
      </c>
    </row>
    <row r="59" ht="32" customHeight="1">
      <c r="A59" s="10" t="inlineStr">
        <is>
          <t>2026-12-20</t>
        </is>
      </c>
      <c r="B59" s="10" t="n">
        <v>58</v>
      </c>
      <c r="C59" s="10" t="inlineStr">
        <is>
          <t>Sunday</t>
        </is>
      </c>
      <c r="D59" s="13" t="inlineStr">
        <is>
          <t>REST DAY</t>
        </is>
      </c>
      <c r="E59" s="11" t="inlineStr">
        <is>
          <t>REST DAY — Rest, Recover &amp; Nourish ❤️</t>
        </is>
      </c>
      <c r="F59" s="12" t="n">
        <v>0</v>
      </c>
      <c r="G59" s="12" t="n">
        <v>0</v>
      </c>
      <c r="H59" s="11" t="inlineStr">
        <is>
          <t>Restorative Rest</t>
        </is>
      </c>
      <c r="I59" s="11" t="inlineStr">
        <is>
          <t>Scheduled REST DAY (Sunday) — Muscle recovery, sleep &amp; nervous system rest. Zero workout pressure! ❤️</t>
        </is>
      </c>
      <c r="J59" s="11" t="inlineStr">
        <is>
          <t>Zero workout assigned. Rest is 100% productive and honored. Keep hydration &amp; comfortable meals.</t>
        </is>
      </c>
      <c r="K59" s="11" t="inlineStr">
        <is>
          <t>Hand on heart, deep peaceful breathing, soothing chamomile or warm water.</t>
        </is>
      </c>
      <c r="L59" s="11" t="inlineStr">
        <is>
          <t>Optional gentle stroll around room if desired, never mandatory.</t>
        </is>
      </c>
      <c r="M59" s="11" t="inlineStr">
        <is>
          <t>N/A (Scheduled Rest Day)</t>
        </is>
      </c>
    </row>
    <row r="60" ht="32" customHeight="1">
      <c r="A60" s="10" t="inlineStr">
        <is>
          <t>2026-12-21</t>
        </is>
      </c>
      <c r="B60" s="10" t="n">
        <v>59</v>
      </c>
      <c r="C60" s="10" t="inlineStr">
        <is>
          <t>Monday</t>
        </is>
      </c>
      <c r="D60" s="14" t="inlineStr">
        <is>
          <t>ZUMBA SESSION</t>
        </is>
      </c>
      <c r="E60" s="11" t="inlineStr">
        <is>
          <t>18-Min Upbeat Bollywood &amp; Latin Zumba Dance Cardio</t>
        </is>
      </c>
      <c r="F60" s="12" t="n">
        <v>18</v>
      </c>
      <c r="G60" s="12" t="n">
        <v>135</v>
      </c>
      <c r="H60" s="11" t="inlineStr">
        <is>
          <t>Bollywood Cardio Fusion</t>
        </is>
      </c>
      <c r="I60" s="11" t="inlineStr">
        <is>
          <t>3 minutes rhythmic pacing and shoulder rolls. Higher energetic flow! Great for releasing stress, elevating mood, and building stamina through joyful dance.</t>
        </is>
      </c>
      <c r="J60" s="11" t="inlineStr">
        <is>
          <t>Bollywood Balle Balle Step (5 mins) • Salsa Cross Step (5 mins) • Mambo Front &amp; Back (4 mins) • Chassé &amp; Clap (4 mins)</t>
        </is>
      </c>
      <c r="K60" s="11" t="inlineStr">
        <is>
          <t>2 minutes slow dance sway and hamstring release.</t>
        </is>
      </c>
      <c r="L60" s="11" t="inlineStr">
        <is>
          <t>Lower the bounce or take steps smaller whenever you need a breather.</t>
        </is>
      </c>
      <c r="M60" s="11" t="inlineStr">
        <is>
          <t>https://www.youtube.com/results?search_query=20+minute+bollywood+zumba+dance+fitness+at+home</t>
        </is>
      </c>
    </row>
    <row r="61" ht="32" customHeight="1">
      <c r="A61" s="10" t="inlineStr">
        <is>
          <t>2026-12-22</t>
        </is>
      </c>
      <c r="B61" s="10" t="n">
        <v>60</v>
      </c>
      <c r="C61" s="10" t="inlineStr">
        <is>
          <t>Tuesday</t>
        </is>
      </c>
      <c r="D61" s="14" t="inlineStr">
        <is>
          <t>ZUMBA SESSION</t>
        </is>
      </c>
      <c r="E61" s="11" t="inlineStr">
        <is>
          <t>18-Min Joyful Retro Pop &amp; Dance Hits Zumba Session</t>
        </is>
      </c>
      <c r="F61" s="12" t="n">
        <v>18</v>
      </c>
      <c r="G61" s="12" t="n">
        <v>130</v>
      </c>
      <c r="H61" s="11" t="inlineStr">
        <is>
          <t>Retro Pop Dance</t>
        </is>
      </c>
      <c r="I61" s="11" t="inlineStr">
        <is>
          <t>2 minutes torso roll and ankle circles. Catchy retro and pop dance beats. Dance like nobody is watching in the comfort of your living room!</t>
        </is>
      </c>
      <c r="J61" s="11" t="inlineStr">
        <is>
          <t>Grapevine Step &amp; Tap (5 mins) • Disco Point &amp; Sway (4 mins) • Cha-Cha Footwork (5 mins) • High-Five Arm Jive (4 mins)</t>
        </is>
      </c>
      <c r="K61" s="11" t="inlineStr">
        <is>
          <t>3 minutes soothing deep breathing and upper back release.</t>
        </is>
      </c>
      <c r="L61" s="11" t="inlineStr">
        <is>
          <t>Seated arm jive and gentle seated sway.</t>
        </is>
      </c>
      <c r="M61" s="11" t="inlineStr">
        <is>
          <t>https://www.youtube.com/results?search_query=20+minute+retro+pop+dance+workout+fun+women</t>
        </is>
      </c>
    </row>
    <row r="62" ht="32" customHeight="1">
      <c r="A62" s="10" t="inlineStr">
        <is>
          <t>2026-12-23</t>
        </is>
      </c>
      <c r="B62" s="10" t="n">
        <v>61</v>
      </c>
      <c r="C62" s="10" t="inlineStr">
        <is>
          <t>Wednesday</t>
        </is>
      </c>
      <c r="D62" s="13" t="inlineStr">
        <is>
          <t>REST DAY</t>
        </is>
      </c>
      <c r="E62" s="11" t="inlineStr">
        <is>
          <t>REST DAY — Rest, Recover &amp; Nourish ❤️</t>
        </is>
      </c>
      <c r="F62" s="12" t="n">
        <v>0</v>
      </c>
      <c r="G62" s="12" t="n">
        <v>0</v>
      </c>
      <c r="H62" s="11" t="inlineStr">
        <is>
          <t>Restorative Rest</t>
        </is>
      </c>
      <c r="I62" s="11" t="inlineStr">
        <is>
          <t>Scheduled REST DAY (Wednesday) — Muscle recovery, sleep &amp; nervous system rest. Zero workout pressure! ❤️</t>
        </is>
      </c>
      <c r="J62" s="11" t="inlineStr">
        <is>
          <t>Zero workout assigned. Rest is 100% productive and honored. Keep hydration &amp; comfortable meals.</t>
        </is>
      </c>
      <c r="K62" s="11" t="inlineStr">
        <is>
          <t>Hand on heart, deep peaceful breathing, soothing chamomile or warm water.</t>
        </is>
      </c>
      <c r="L62" s="11" t="inlineStr">
        <is>
          <t>Optional gentle stroll around room if desired, never mandatory.</t>
        </is>
      </c>
      <c r="M62" s="11" t="inlineStr">
        <is>
          <t>N/A (Scheduled Rest Day)</t>
        </is>
      </c>
    </row>
    <row r="63" ht="32" customHeight="1">
      <c r="A63" s="10" t="inlineStr">
        <is>
          <t>2026-12-24</t>
        </is>
      </c>
      <c r="B63" s="10" t="n">
        <v>62</v>
      </c>
      <c r="C63" s="10" t="inlineStr">
        <is>
          <t>Thursday</t>
        </is>
      </c>
      <c r="D63" s="14" t="inlineStr">
        <is>
          <t>ZUMBA SESSION</t>
        </is>
      </c>
      <c r="E63" s="11" t="inlineStr">
        <is>
          <t>18-Min Upbeat Bollywood &amp; Latin Zumba Dance Cardio</t>
        </is>
      </c>
      <c r="F63" s="12" t="n">
        <v>18</v>
      </c>
      <c r="G63" s="12" t="n">
        <v>135</v>
      </c>
      <c r="H63" s="11" t="inlineStr">
        <is>
          <t>Bollywood Cardio Fusion</t>
        </is>
      </c>
      <c r="I63" s="11" t="inlineStr">
        <is>
          <t>3 minutes rhythmic pacing and shoulder rolls. Higher energetic flow! Great for releasing stress, elevating mood, and building stamina through joyful dance.</t>
        </is>
      </c>
      <c r="J63" s="11" t="inlineStr">
        <is>
          <t>Bollywood Balle Balle Step (5 mins) • Salsa Cross Step (5 mins) • Mambo Front &amp; Back (4 mins) • Chassé &amp; Clap (4 mins)</t>
        </is>
      </c>
      <c r="K63" s="11" t="inlineStr">
        <is>
          <t>2 minutes slow dance sway and hamstring release.</t>
        </is>
      </c>
      <c r="L63" s="11" t="inlineStr">
        <is>
          <t>Lower the bounce or take steps smaller whenever you need a breather.</t>
        </is>
      </c>
      <c r="M63" s="11" t="inlineStr">
        <is>
          <t>https://www.youtube.com/results?search_query=20+minute+bollywood+zumba+dance+fitness+at+home</t>
        </is>
      </c>
    </row>
    <row r="64" ht="32" customHeight="1">
      <c r="A64" s="10" t="inlineStr">
        <is>
          <t>2026-12-25</t>
        </is>
      </c>
      <c r="B64" s="10" t="n">
        <v>63</v>
      </c>
      <c r="C64" s="10" t="inlineStr">
        <is>
          <t>Friday</t>
        </is>
      </c>
      <c r="D64" s="14" t="inlineStr">
        <is>
          <t>ZUMBA SESSION</t>
        </is>
      </c>
      <c r="E64" s="11" t="inlineStr">
        <is>
          <t>18-Min Joyful Retro Pop &amp; Dance Hits Zumba Session</t>
        </is>
      </c>
      <c r="F64" s="12" t="n">
        <v>18</v>
      </c>
      <c r="G64" s="12" t="n">
        <v>130</v>
      </c>
      <c r="H64" s="11" t="inlineStr">
        <is>
          <t>Retro Pop Dance</t>
        </is>
      </c>
      <c r="I64" s="11" t="inlineStr">
        <is>
          <t>2 minutes torso roll and ankle circles. Catchy retro and pop dance beats. Dance like nobody is watching in the comfort of your living room!</t>
        </is>
      </c>
      <c r="J64" s="11" t="inlineStr">
        <is>
          <t>Grapevine Step &amp; Tap (5 mins) • Disco Point &amp; Sway (4 mins) • Cha-Cha Footwork (5 mins) • High-Five Arm Jive (4 mins)</t>
        </is>
      </c>
      <c r="K64" s="11" t="inlineStr">
        <is>
          <t>3 minutes soothing deep breathing and upper back release.</t>
        </is>
      </c>
      <c r="L64" s="11" t="inlineStr">
        <is>
          <t>Seated arm jive and gentle seated sway.</t>
        </is>
      </c>
      <c r="M64" s="11" t="inlineStr">
        <is>
          <t>https://www.youtube.com/results?search_query=20+minute+retro+pop+dance+workout+fun+women</t>
        </is>
      </c>
    </row>
    <row r="65" ht="32" customHeight="1">
      <c r="A65" s="10" t="inlineStr">
        <is>
          <t>2026-12-26</t>
        </is>
      </c>
      <c r="B65" s="10" t="n">
        <v>64</v>
      </c>
      <c r="C65" s="10" t="inlineStr">
        <is>
          <t>Saturday</t>
        </is>
      </c>
      <c r="D65" s="13" t="inlineStr">
        <is>
          <t>REST DAY</t>
        </is>
      </c>
      <c r="E65" s="11" t="inlineStr">
        <is>
          <t>REST DAY — Rest, Recover &amp; Nourish ❤️</t>
        </is>
      </c>
      <c r="F65" s="12" t="n">
        <v>0</v>
      </c>
      <c r="G65" s="12" t="n">
        <v>0</v>
      </c>
      <c r="H65" s="11" t="inlineStr">
        <is>
          <t>Restorative Rest</t>
        </is>
      </c>
      <c r="I65" s="11" t="inlineStr">
        <is>
          <t>Scheduled REST DAY (Saturday) — Muscle recovery, sleep &amp; nervous system rest. Zero workout pressure! ❤️</t>
        </is>
      </c>
      <c r="J65" s="11" t="inlineStr">
        <is>
          <t>Zero workout assigned. Rest is 100% productive and honored. Keep hydration &amp; comfortable meals.</t>
        </is>
      </c>
      <c r="K65" s="11" t="inlineStr">
        <is>
          <t>Hand on heart, deep peaceful breathing, soothing chamomile or warm water.</t>
        </is>
      </c>
      <c r="L65" s="11" t="inlineStr">
        <is>
          <t>Optional gentle stroll around room if desired, never mandatory.</t>
        </is>
      </c>
      <c r="M65" s="11" t="inlineStr">
        <is>
          <t>N/A (Scheduled Rest Day)</t>
        </is>
      </c>
    </row>
    <row r="66" ht="32" customHeight="1">
      <c r="A66" s="10" t="inlineStr">
        <is>
          <t>2026-12-27</t>
        </is>
      </c>
      <c r="B66" s="10" t="n">
        <v>65</v>
      </c>
      <c r="C66" s="10" t="inlineStr">
        <is>
          <t>Sunday</t>
        </is>
      </c>
      <c r="D66" s="13" t="inlineStr">
        <is>
          <t>REST DAY</t>
        </is>
      </c>
      <c r="E66" s="11" t="inlineStr">
        <is>
          <t>REST DAY — Rest, Recover &amp; Nourish ❤️</t>
        </is>
      </c>
      <c r="F66" s="12" t="n">
        <v>0</v>
      </c>
      <c r="G66" s="12" t="n">
        <v>0</v>
      </c>
      <c r="H66" s="11" t="inlineStr">
        <is>
          <t>Restorative Rest</t>
        </is>
      </c>
      <c r="I66" s="11" t="inlineStr">
        <is>
          <t>Scheduled REST DAY (Sunday) — Muscle recovery, sleep &amp; nervous system rest. Zero workout pressure! ❤️</t>
        </is>
      </c>
      <c r="J66" s="11" t="inlineStr">
        <is>
          <t>Zero workout assigned. Rest is 100% productive and honored. Keep hydration &amp; comfortable meals.</t>
        </is>
      </c>
      <c r="K66" s="11" t="inlineStr">
        <is>
          <t>Hand on heart, deep peaceful breathing, soothing chamomile or warm water.</t>
        </is>
      </c>
      <c r="L66" s="11" t="inlineStr">
        <is>
          <t>Optional gentle stroll around room if desired, never mandatory.</t>
        </is>
      </c>
      <c r="M66" s="11" t="inlineStr">
        <is>
          <t>N/A (Scheduled Rest Day)</t>
        </is>
      </c>
    </row>
    <row r="67" ht="32" customHeight="1">
      <c r="A67" s="10" t="inlineStr">
        <is>
          <t>2026-12-28</t>
        </is>
      </c>
      <c r="B67" s="10" t="n">
        <v>66</v>
      </c>
      <c r="C67" s="10" t="inlineStr">
        <is>
          <t>Monday</t>
        </is>
      </c>
      <c r="D67" s="14" t="inlineStr">
        <is>
          <t>ZUMBA SESSION</t>
        </is>
      </c>
      <c r="E67" s="11" t="inlineStr">
        <is>
          <t>18-Min Upbeat Bollywood &amp; Latin Zumba Dance Cardio</t>
        </is>
      </c>
      <c r="F67" s="12" t="n">
        <v>18</v>
      </c>
      <c r="G67" s="12" t="n">
        <v>135</v>
      </c>
      <c r="H67" s="11" t="inlineStr">
        <is>
          <t>Bollywood Cardio Fusion</t>
        </is>
      </c>
      <c r="I67" s="11" t="inlineStr">
        <is>
          <t>3 minutes rhythmic pacing and shoulder rolls. Higher energetic flow! Great for releasing stress, elevating mood, and building stamina through joyful dance.</t>
        </is>
      </c>
      <c r="J67" s="11" t="inlineStr">
        <is>
          <t>Bollywood Balle Balle Step (5 mins) • Salsa Cross Step (5 mins) • Mambo Front &amp; Back (4 mins) • Chassé &amp; Clap (4 mins)</t>
        </is>
      </c>
      <c r="K67" s="11" t="inlineStr">
        <is>
          <t>2 minutes slow dance sway and hamstring release.</t>
        </is>
      </c>
      <c r="L67" s="11" t="inlineStr">
        <is>
          <t>Lower the bounce or take steps smaller whenever you need a breather.</t>
        </is>
      </c>
      <c r="M67" s="11" t="inlineStr">
        <is>
          <t>https://www.youtube.com/results?search_query=20+minute+bollywood+zumba+dance+fitness+at+home</t>
        </is>
      </c>
    </row>
    <row r="68" ht="32" customHeight="1">
      <c r="A68" s="10" t="inlineStr">
        <is>
          <t>2026-12-29</t>
        </is>
      </c>
      <c r="B68" s="10" t="n">
        <v>67</v>
      </c>
      <c r="C68" s="10" t="inlineStr">
        <is>
          <t>Tuesday</t>
        </is>
      </c>
      <c r="D68" s="14" t="inlineStr">
        <is>
          <t>ZUMBA SESSION</t>
        </is>
      </c>
      <c r="E68" s="11" t="inlineStr">
        <is>
          <t>18-Min Joyful Retro Pop &amp; Dance Hits Zumba Session</t>
        </is>
      </c>
      <c r="F68" s="12" t="n">
        <v>18</v>
      </c>
      <c r="G68" s="12" t="n">
        <v>130</v>
      </c>
      <c r="H68" s="11" t="inlineStr">
        <is>
          <t>Retro Pop Dance</t>
        </is>
      </c>
      <c r="I68" s="11" t="inlineStr">
        <is>
          <t>2 minutes torso roll and ankle circles. Catchy retro and pop dance beats. Dance like nobody is watching in the comfort of your living room!</t>
        </is>
      </c>
      <c r="J68" s="11" t="inlineStr">
        <is>
          <t>Grapevine Step &amp; Tap (5 mins) • Disco Point &amp; Sway (4 mins) • Cha-Cha Footwork (5 mins) • High-Five Arm Jive (4 mins)</t>
        </is>
      </c>
      <c r="K68" s="11" t="inlineStr">
        <is>
          <t>3 minutes soothing deep breathing and upper back release.</t>
        </is>
      </c>
      <c r="L68" s="11" t="inlineStr">
        <is>
          <t>Seated arm jive and gentle seated sway.</t>
        </is>
      </c>
      <c r="M68" s="11" t="inlineStr">
        <is>
          <t>https://www.youtube.com/results?search_query=20+minute+retro+pop+dance+workout+fun+women</t>
        </is>
      </c>
    </row>
    <row r="69" ht="32" customHeight="1">
      <c r="A69" s="10" t="inlineStr">
        <is>
          <t>2026-12-30</t>
        </is>
      </c>
      <c r="B69" s="10" t="n">
        <v>68</v>
      </c>
      <c r="C69" s="10" t="inlineStr">
        <is>
          <t>Wednesday</t>
        </is>
      </c>
      <c r="D69" s="13" t="inlineStr">
        <is>
          <t>REST DAY</t>
        </is>
      </c>
      <c r="E69" s="11" t="inlineStr">
        <is>
          <t>REST DAY — Rest, Recover &amp; Nourish ❤️</t>
        </is>
      </c>
      <c r="F69" s="12" t="n">
        <v>0</v>
      </c>
      <c r="G69" s="12" t="n">
        <v>0</v>
      </c>
      <c r="H69" s="11" t="inlineStr">
        <is>
          <t>Restorative Rest</t>
        </is>
      </c>
      <c r="I69" s="11" t="inlineStr">
        <is>
          <t>Scheduled REST DAY (Wednesday) — Muscle recovery, sleep &amp; nervous system rest. Zero workout pressure! ❤️</t>
        </is>
      </c>
      <c r="J69" s="11" t="inlineStr">
        <is>
          <t>Zero workout assigned. Rest is 100% productive and honored. Keep hydration &amp; comfortable meals.</t>
        </is>
      </c>
      <c r="K69" s="11" t="inlineStr">
        <is>
          <t>Hand on heart, deep peaceful breathing, soothing chamomile or warm water.</t>
        </is>
      </c>
      <c r="L69" s="11" t="inlineStr">
        <is>
          <t>Optional gentle stroll around room if desired, never mandatory.</t>
        </is>
      </c>
      <c r="M69" s="11" t="inlineStr">
        <is>
          <t>N/A (Scheduled Rest Day)</t>
        </is>
      </c>
    </row>
    <row r="70" ht="32" customHeight="1">
      <c r="A70" s="10" t="inlineStr">
        <is>
          <t>2026-12-31</t>
        </is>
      </c>
      <c r="B70" s="10" t="n">
        <v>69</v>
      </c>
      <c r="C70" s="10" t="inlineStr">
        <is>
          <t>Thursday</t>
        </is>
      </c>
      <c r="D70" s="14" t="inlineStr">
        <is>
          <t>ZUMBA SESSION</t>
        </is>
      </c>
      <c r="E70" s="11" t="inlineStr">
        <is>
          <t>18-Min Upbeat Bollywood &amp; Latin Zumba Dance Cardio</t>
        </is>
      </c>
      <c r="F70" s="12" t="n">
        <v>18</v>
      </c>
      <c r="G70" s="12" t="n">
        <v>135</v>
      </c>
      <c r="H70" s="11" t="inlineStr">
        <is>
          <t>Bollywood Cardio Fusion</t>
        </is>
      </c>
      <c r="I70" s="11" t="inlineStr">
        <is>
          <t>3 minutes rhythmic pacing and shoulder rolls. Higher energetic flow! Great for releasing stress, elevating mood, and building stamina through joyful dance.</t>
        </is>
      </c>
      <c r="J70" s="11" t="inlineStr">
        <is>
          <t>Bollywood Balle Balle Step (5 mins) • Salsa Cross Step (5 mins) • Mambo Front &amp; Back (4 mins) • Chassé &amp; Clap (4 mins)</t>
        </is>
      </c>
      <c r="K70" s="11" t="inlineStr">
        <is>
          <t>2 minutes slow dance sway and hamstring release.</t>
        </is>
      </c>
      <c r="L70" s="11" t="inlineStr">
        <is>
          <t>Lower the bounce or take steps smaller whenever you need a breather.</t>
        </is>
      </c>
      <c r="M70" s="11" t="inlineStr">
        <is>
          <t>https://www.youtube.com/results?search_query=20+minute+bollywood+zumba+dance+fitness+at+home</t>
        </is>
      </c>
    </row>
    <row r="71" ht="32" customHeight="1">
      <c r="A71" s="10" t="inlineStr">
        <is>
          <t>2027-01-01</t>
        </is>
      </c>
      <c r="B71" s="10" t="n">
        <v>70</v>
      </c>
      <c r="C71" s="10" t="inlineStr">
        <is>
          <t>Friday</t>
        </is>
      </c>
      <c r="D71" s="14" t="inlineStr">
        <is>
          <t>ZUMBA SESSION</t>
        </is>
      </c>
      <c r="E71" s="11" t="inlineStr">
        <is>
          <t>18-Min Joyful Retro Pop &amp; Dance Hits Zumba Session</t>
        </is>
      </c>
      <c r="F71" s="12" t="n">
        <v>18</v>
      </c>
      <c r="G71" s="12" t="n">
        <v>130</v>
      </c>
      <c r="H71" s="11" t="inlineStr">
        <is>
          <t>Retro Pop Dance</t>
        </is>
      </c>
      <c r="I71" s="11" t="inlineStr">
        <is>
          <t>2 minutes torso roll and ankle circles. Catchy retro and pop dance beats. Dance like nobody is watching in the comfort of your living room!</t>
        </is>
      </c>
      <c r="J71" s="11" t="inlineStr">
        <is>
          <t>Grapevine Step &amp; Tap (5 mins) • Disco Point &amp; Sway (4 mins) • Cha-Cha Footwork (5 mins) • High-Five Arm Jive (4 mins)</t>
        </is>
      </c>
      <c r="K71" s="11" t="inlineStr">
        <is>
          <t>3 minutes soothing deep breathing and upper back release.</t>
        </is>
      </c>
      <c r="L71" s="11" t="inlineStr">
        <is>
          <t>Seated arm jive and gentle seated sway.</t>
        </is>
      </c>
      <c r="M71" s="11" t="inlineStr">
        <is>
          <t>https://www.youtube.com/results?search_query=20+minute+retro+pop+dance+workout+fun+women</t>
        </is>
      </c>
    </row>
    <row r="72" ht="32" customHeight="1">
      <c r="A72" s="10" t="inlineStr">
        <is>
          <t>2027-01-02</t>
        </is>
      </c>
      <c r="B72" s="10" t="n">
        <v>71</v>
      </c>
      <c r="C72" s="10" t="inlineStr">
        <is>
          <t>Saturday</t>
        </is>
      </c>
      <c r="D72" s="13" t="inlineStr">
        <is>
          <t>REST DAY</t>
        </is>
      </c>
      <c r="E72" s="11" t="inlineStr">
        <is>
          <t>REST DAY — Rest, Recover &amp; Nourish ❤️</t>
        </is>
      </c>
      <c r="F72" s="12" t="n">
        <v>0</v>
      </c>
      <c r="G72" s="12" t="n">
        <v>0</v>
      </c>
      <c r="H72" s="11" t="inlineStr">
        <is>
          <t>Restorative Rest</t>
        </is>
      </c>
      <c r="I72" s="11" t="inlineStr">
        <is>
          <t>Scheduled REST DAY (Saturday) — Muscle recovery, sleep &amp; nervous system rest. Zero workout pressure! ❤️</t>
        </is>
      </c>
      <c r="J72" s="11" t="inlineStr">
        <is>
          <t>Zero workout assigned. Rest is 100% productive and honored. Keep hydration &amp; comfortable meals.</t>
        </is>
      </c>
      <c r="K72" s="11" t="inlineStr">
        <is>
          <t>Hand on heart, deep peaceful breathing, soothing chamomile or warm water.</t>
        </is>
      </c>
      <c r="L72" s="11" t="inlineStr">
        <is>
          <t>Optional gentle stroll around room if desired, never mandatory.</t>
        </is>
      </c>
      <c r="M72" s="11" t="inlineStr">
        <is>
          <t>N/A (Scheduled Rest Day)</t>
        </is>
      </c>
    </row>
    <row r="73" ht="32" customHeight="1">
      <c r="A73" s="10" t="inlineStr">
        <is>
          <t>2027-01-03</t>
        </is>
      </c>
      <c r="B73" s="10" t="n">
        <v>72</v>
      </c>
      <c r="C73" s="10" t="inlineStr">
        <is>
          <t>Sunday</t>
        </is>
      </c>
      <c r="D73" s="13" t="inlineStr">
        <is>
          <t>REST DAY</t>
        </is>
      </c>
      <c r="E73" s="11" t="inlineStr">
        <is>
          <t>REST DAY — Rest, Recover &amp; Nourish ❤️</t>
        </is>
      </c>
      <c r="F73" s="12" t="n">
        <v>0</v>
      </c>
      <c r="G73" s="12" t="n">
        <v>0</v>
      </c>
      <c r="H73" s="11" t="inlineStr">
        <is>
          <t>Restorative Rest</t>
        </is>
      </c>
      <c r="I73" s="11" t="inlineStr">
        <is>
          <t>Scheduled REST DAY (Sunday) — Muscle recovery, sleep &amp; nervous system rest. Zero workout pressure! ❤️</t>
        </is>
      </c>
      <c r="J73" s="11" t="inlineStr">
        <is>
          <t>Zero workout assigned. Rest is 100% productive and honored. Keep hydration &amp; comfortable meals.</t>
        </is>
      </c>
      <c r="K73" s="11" t="inlineStr">
        <is>
          <t>Hand on heart, deep peaceful breathing, soothing chamomile or warm water.</t>
        </is>
      </c>
      <c r="L73" s="11" t="inlineStr">
        <is>
          <t>Optional gentle stroll around room if desired, never mandatory.</t>
        </is>
      </c>
      <c r="M73" s="11" t="inlineStr">
        <is>
          <t>N/A (Scheduled Rest Day)</t>
        </is>
      </c>
    </row>
    <row r="74" ht="32" customHeight="1">
      <c r="A74" s="10" t="inlineStr">
        <is>
          <t>2027-01-04</t>
        </is>
      </c>
      <c r="B74" s="10" t="n">
        <v>73</v>
      </c>
      <c r="C74" s="10" t="inlineStr">
        <is>
          <t>Monday</t>
        </is>
      </c>
      <c r="D74" s="14" t="inlineStr">
        <is>
          <t>ZUMBA SESSION</t>
        </is>
      </c>
      <c r="E74" s="11" t="inlineStr">
        <is>
          <t>18-Min Upbeat Bollywood &amp; Latin Zumba Dance Cardio</t>
        </is>
      </c>
      <c r="F74" s="12" t="n">
        <v>18</v>
      </c>
      <c r="G74" s="12" t="n">
        <v>135</v>
      </c>
      <c r="H74" s="11" t="inlineStr">
        <is>
          <t>Bollywood Cardio Fusion</t>
        </is>
      </c>
      <c r="I74" s="11" t="inlineStr">
        <is>
          <t>3 minutes rhythmic pacing and shoulder rolls. Higher energetic flow! Great for releasing stress, elevating mood, and building stamina through joyful dance.</t>
        </is>
      </c>
      <c r="J74" s="11" t="inlineStr">
        <is>
          <t>Bollywood Balle Balle Step (5 mins) • Salsa Cross Step (5 mins) • Mambo Front &amp; Back (4 mins) • Chassé &amp; Clap (4 mins)</t>
        </is>
      </c>
      <c r="K74" s="11" t="inlineStr">
        <is>
          <t>2 minutes slow dance sway and hamstring release.</t>
        </is>
      </c>
      <c r="L74" s="11" t="inlineStr">
        <is>
          <t>Lower the bounce or take steps smaller whenever you need a breather.</t>
        </is>
      </c>
      <c r="M74" s="11" t="inlineStr">
        <is>
          <t>https://www.youtube.com/results?search_query=20+minute+bollywood+zumba+dance+fitness+at+home</t>
        </is>
      </c>
    </row>
    <row r="75" ht="32" customHeight="1">
      <c r="A75" s="10" t="inlineStr">
        <is>
          <t>2027-01-05</t>
        </is>
      </c>
      <c r="B75" s="10" t="n">
        <v>74</v>
      </c>
      <c r="C75" s="10" t="inlineStr">
        <is>
          <t>Tuesday</t>
        </is>
      </c>
      <c r="D75" s="14" t="inlineStr">
        <is>
          <t>ZUMBA SESSION</t>
        </is>
      </c>
      <c r="E75" s="11" t="inlineStr">
        <is>
          <t>18-Min Joyful Retro Pop &amp; Dance Hits Zumba Session</t>
        </is>
      </c>
      <c r="F75" s="12" t="n">
        <v>18</v>
      </c>
      <c r="G75" s="12" t="n">
        <v>130</v>
      </c>
      <c r="H75" s="11" t="inlineStr">
        <is>
          <t>Retro Pop Dance</t>
        </is>
      </c>
      <c r="I75" s="11" t="inlineStr">
        <is>
          <t>2 minutes torso roll and ankle circles. Catchy retro and pop dance beats. Dance like nobody is watching in the comfort of your living room!</t>
        </is>
      </c>
      <c r="J75" s="11" t="inlineStr">
        <is>
          <t>Grapevine Step &amp; Tap (5 mins) • Disco Point &amp; Sway (4 mins) • Cha-Cha Footwork (5 mins) • High-Five Arm Jive (4 mins)</t>
        </is>
      </c>
      <c r="K75" s="11" t="inlineStr">
        <is>
          <t>3 minutes soothing deep breathing and upper back release.</t>
        </is>
      </c>
      <c r="L75" s="11" t="inlineStr">
        <is>
          <t>Seated arm jive and gentle seated sway.</t>
        </is>
      </c>
      <c r="M75" s="11" t="inlineStr">
        <is>
          <t>https://www.youtube.com/results?search_query=20+minute+retro+pop+dance+workout+fun+women</t>
        </is>
      </c>
    </row>
    <row r="76" ht="32" customHeight="1">
      <c r="A76" s="10" t="inlineStr">
        <is>
          <t>2027-01-06</t>
        </is>
      </c>
      <c r="B76" s="10" t="n">
        <v>75</v>
      </c>
      <c r="C76" s="10" t="inlineStr">
        <is>
          <t>Wednesday</t>
        </is>
      </c>
      <c r="D76" s="13" t="inlineStr">
        <is>
          <t>REST DAY</t>
        </is>
      </c>
      <c r="E76" s="11" t="inlineStr">
        <is>
          <t>REST DAY — Rest, Recover &amp; Nourish ❤️</t>
        </is>
      </c>
      <c r="F76" s="12" t="n">
        <v>0</v>
      </c>
      <c r="G76" s="12" t="n">
        <v>0</v>
      </c>
      <c r="H76" s="11" t="inlineStr">
        <is>
          <t>Restorative Rest</t>
        </is>
      </c>
      <c r="I76" s="11" t="inlineStr">
        <is>
          <t>Scheduled REST DAY (Wednesday) — Muscle recovery, sleep &amp; nervous system rest. Zero workout pressure! ❤️</t>
        </is>
      </c>
      <c r="J76" s="11" t="inlineStr">
        <is>
          <t>Zero workout assigned. Rest is 100% productive and honored. Keep hydration &amp; comfortable meals.</t>
        </is>
      </c>
      <c r="K76" s="11" t="inlineStr">
        <is>
          <t>Hand on heart, deep peaceful breathing, soothing chamomile or warm water.</t>
        </is>
      </c>
      <c r="L76" s="11" t="inlineStr">
        <is>
          <t>Optional gentle stroll around room if desired, never mandatory.</t>
        </is>
      </c>
      <c r="M76" s="11" t="inlineStr">
        <is>
          <t>N/A (Scheduled Rest Day)</t>
        </is>
      </c>
    </row>
    <row r="77" ht="32" customHeight="1">
      <c r="A77" s="10" t="inlineStr">
        <is>
          <t>2027-01-07</t>
        </is>
      </c>
      <c r="B77" s="10" t="n">
        <v>76</v>
      </c>
      <c r="C77" s="10" t="inlineStr">
        <is>
          <t>Thursday</t>
        </is>
      </c>
      <c r="D77" s="14" t="inlineStr">
        <is>
          <t>ZUMBA SESSION</t>
        </is>
      </c>
      <c r="E77" s="11" t="inlineStr">
        <is>
          <t>20-Min Full Body Zumba Fiesta &amp; Core Tone</t>
        </is>
      </c>
      <c r="F77" s="12" t="n">
        <v>20</v>
      </c>
      <c r="G77" s="12" t="n">
        <v>155</v>
      </c>
      <c r="H77" s="11" t="inlineStr">
        <is>
          <t>Zumba Fiesta &amp; Tone</t>
        </is>
      </c>
      <c r="I77" s="11" t="inlineStr">
        <is>
          <t>3 minutes dynamic dance warm-up. Full body dance rhythm that naturally engages your core, tones waist, and boosts endurance effortlessly.</t>
        </is>
      </c>
      <c r="J77" s="11" t="inlineStr">
        <is>
          <t>Cumbia Two-Step &amp; Pump (5 mins) • Bollywood Desi Thumka (5 mins) • Salsa Double Step (5 mins) • Samba Shimmy &amp; Reach (5 mins)</t>
        </is>
      </c>
      <c r="K77" s="11" t="inlineStr">
        <is>
          <t>3 minutes slow waltz flow and full body stretch.</t>
        </is>
      </c>
      <c r="L77" s="11" t="inlineStr">
        <is>
          <t>Omit quick pivots; maintain simple two-step touch.</t>
        </is>
      </c>
      <c r="M77" s="11" t="inlineStr">
        <is>
          <t>https://www.youtube.com/results?search_query=20+minute+zumba+dance+party+at+home+sweat+and+smile</t>
        </is>
      </c>
    </row>
    <row r="78" ht="32" customHeight="1">
      <c r="A78" s="10" t="inlineStr">
        <is>
          <t>2027-01-08</t>
        </is>
      </c>
      <c r="B78" s="10" t="n">
        <v>77</v>
      </c>
      <c r="C78" s="10" t="inlineStr">
        <is>
          <t>Friday</t>
        </is>
      </c>
      <c r="D78" s="14" t="inlineStr">
        <is>
          <t>ZUMBA SESSION</t>
        </is>
      </c>
      <c r="E78" s="11" t="inlineStr">
        <is>
          <t>22-Min High-Spirited Bollywood Beats Zumba Cardio</t>
        </is>
      </c>
      <c r="F78" s="12" t="n">
        <v>22</v>
      </c>
      <c r="G78" s="12" t="n">
        <v>175</v>
      </c>
      <c r="H78" s="11" t="inlineStr">
        <is>
          <t>Bollywood Anthem Dance</t>
        </is>
      </c>
      <c r="I78" s="11" t="inlineStr">
        <is>
          <t>3 minutes light bounce and shoulder rolls. Infectious beats and expressive hand gestures. Burns calories while feeling like a pure celebration!</t>
        </is>
      </c>
      <c r="J78" s="11" t="inlineStr">
        <is>
          <t>Dholak Beat March (6 mins) • Punjabi Folk Step (6 mins) • Bollywood Freestyle (5 mins) • Rhythmic Claps &amp; Sway (5 mins)</t>
        </is>
      </c>
      <c r="K78" s="11" t="inlineStr">
        <is>
          <t>3 minutes calming waltz breathing.</t>
        </is>
      </c>
      <c r="L78" s="11" t="inlineStr">
        <is>
          <t>Pace yourself gently; all moves are customizable.</t>
        </is>
      </c>
      <c r="M78" s="11" t="inlineStr">
        <is>
          <t>https://www.youtube.com/results?search_query=20+minute+upbeat+bollywood+dance+workout+home</t>
        </is>
      </c>
    </row>
    <row r="79" ht="32" customHeight="1">
      <c r="A79" s="10" t="inlineStr">
        <is>
          <t>2027-01-09</t>
        </is>
      </c>
      <c r="B79" s="10" t="n">
        <v>78</v>
      </c>
      <c r="C79" s="10" t="inlineStr">
        <is>
          <t>Saturday</t>
        </is>
      </c>
      <c r="D79" s="13" t="inlineStr">
        <is>
          <t>REST DAY</t>
        </is>
      </c>
      <c r="E79" s="11" t="inlineStr">
        <is>
          <t>REST DAY — Rest, Recover &amp; Nourish ❤️</t>
        </is>
      </c>
      <c r="F79" s="12" t="n">
        <v>0</v>
      </c>
      <c r="G79" s="12" t="n">
        <v>0</v>
      </c>
      <c r="H79" s="11" t="inlineStr">
        <is>
          <t>Restorative Rest</t>
        </is>
      </c>
      <c r="I79" s="11" t="inlineStr">
        <is>
          <t>Scheduled REST DAY (Saturday) — Muscle recovery, sleep &amp; nervous system rest. Zero workout pressure! ❤️</t>
        </is>
      </c>
      <c r="J79" s="11" t="inlineStr">
        <is>
          <t>Zero workout assigned. Rest is 100% productive and honored. Keep hydration &amp; comfortable meals.</t>
        </is>
      </c>
      <c r="K79" s="11" t="inlineStr">
        <is>
          <t>Hand on heart, deep peaceful breathing, soothing chamomile or warm water.</t>
        </is>
      </c>
      <c r="L79" s="11" t="inlineStr">
        <is>
          <t>Optional gentle stroll around room if desired, never mandatory.</t>
        </is>
      </c>
      <c r="M79" s="11" t="inlineStr">
        <is>
          <t>N/A (Scheduled Rest Day)</t>
        </is>
      </c>
    </row>
    <row r="80" ht="32" customHeight="1">
      <c r="A80" s="10" t="inlineStr">
        <is>
          <t>2027-01-10</t>
        </is>
      </c>
      <c r="B80" s="10" t="n">
        <v>79</v>
      </c>
      <c r="C80" s="10" t="inlineStr">
        <is>
          <t>Sunday</t>
        </is>
      </c>
      <c r="D80" s="13" t="inlineStr">
        <is>
          <t>REST DAY</t>
        </is>
      </c>
      <c r="E80" s="11" t="inlineStr">
        <is>
          <t>REST DAY — Rest, Recover &amp; Nourish ❤️</t>
        </is>
      </c>
      <c r="F80" s="12" t="n">
        <v>0</v>
      </c>
      <c r="G80" s="12" t="n">
        <v>0</v>
      </c>
      <c r="H80" s="11" t="inlineStr">
        <is>
          <t>Restorative Rest</t>
        </is>
      </c>
      <c r="I80" s="11" t="inlineStr">
        <is>
          <t>Scheduled REST DAY (Sunday) — Muscle recovery, sleep &amp; nervous system rest. Zero workout pressure! ❤️</t>
        </is>
      </c>
      <c r="J80" s="11" t="inlineStr">
        <is>
          <t>Zero workout assigned. Rest is 100% productive and honored. Keep hydration &amp; comfortable meals.</t>
        </is>
      </c>
      <c r="K80" s="11" t="inlineStr">
        <is>
          <t>Hand on heart, deep peaceful breathing, soothing chamomile or warm water.</t>
        </is>
      </c>
      <c r="L80" s="11" t="inlineStr">
        <is>
          <t>Optional gentle stroll around room if desired, never mandatory.</t>
        </is>
      </c>
      <c r="M80" s="11" t="inlineStr">
        <is>
          <t>N/A (Scheduled Rest Day)</t>
        </is>
      </c>
    </row>
    <row r="81" ht="32" customHeight="1">
      <c r="A81" s="10" t="inlineStr">
        <is>
          <t>2027-01-11</t>
        </is>
      </c>
      <c r="B81" s="10" t="n">
        <v>80</v>
      </c>
      <c r="C81" s="10" t="inlineStr">
        <is>
          <t>Monday</t>
        </is>
      </c>
      <c r="D81" s="14" t="inlineStr">
        <is>
          <t>ZUMBA SESSION</t>
        </is>
      </c>
      <c r="E81" s="11" t="inlineStr">
        <is>
          <t>20-Min Full Body Zumba Fiesta &amp; Core Tone</t>
        </is>
      </c>
      <c r="F81" s="12" t="n">
        <v>20</v>
      </c>
      <c r="G81" s="12" t="n">
        <v>155</v>
      </c>
      <c r="H81" s="11" t="inlineStr">
        <is>
          <t>Zumba Fiesta &amp; Tone</t>
        </is>
      </c>
      <c r="I81" s="11" t="inlineStr">
        <is>
          <t>3 minutes dynamic dance warm-up. Full body dance rhythm that naturally engages your core, tones waist, and boosts endurance effortlessly.</t>
        </is>
      </c>
      <c r="J81" s="11" t="inlineStr">
        <is>
          <t>Cumbia Two-Step &amp; Pump (5 mins) • Bollywood Desi Thumka (5 mins) • Salsa Double Step (5 mins) • Samba Shimmy &amp; Reach (5 mins)</t>
        </is>
      </c>
      <c r="K81" s="11" t="inlineStr">
        <is>
          <t>3 minutes slow waltz flow and full body stretch.</t>
        </is>
      </c>
      <c r="L81" s="11" t="inlineStr">
        <is>
          <t>Omit quick pivots; maintain simple two-step touch.</t>
        </is>
      </c>
      <c r="M81" s="11" t="inlineStr">
        <is>
          <t>https://www.youtube.com/results?search_query=20+minute+zumba+dance+party+at+home+sweat+and+smile</t>
        </is>
      </c>
    </row>
    <row r="82" ht="32" customHeight="1">
      <c r="A82" s="10" t="inlineStr">
        <is>
          <t>2027-01-12</t>
        </is>
      </c>
      <c r="B82" s="10" t="n">
        <v>81</v>
      </c>
      <c r="C82" s="10" t="inlineStr">
        <is>
          <t>Tuesday</t>
        </is>
      </c>
      <c r="D82" s="14" t="inlineStr">
        <is>
          <t>ZUMBA SESSION</t>
        </is>
      </c>
      <c r="E82" s="11" t="inlineStr">
        <is>
          <t>22-Min High-Spirited Bollywood Beats Zumba Cardio</t>
        </is>
      </c>
      <c r="F82" s="12" t="n">
        <v>22</v>
      </c>
      <c r="G82" s="12" t="n">
        <v>175</v>
      </c>
      <c r="H82" s="11" t="inlineStr">
        <is>
          <t>Bollywood Anthem Dance</t>
        </is>
      </c>
      <c r="I82" s="11" t="inlineStr">
        <is>
          <t>3 minutes light bounce and shoulder rolls. Infectious beats and expressive hand gestures. Burns calories while feeling like a pure celebration!</t>
        </is>
      </c>
      <c r="J82" s="11" t="inlineStr">
        <is>
          <t>Dholak Beat March (6 mins) • Punjabi Folk Step (6 mins) • Bollywood Freestyle (5 mins) • Rhythmic Claps &amp; Sway (5 mins)</t>
        </is>
      </c>
      <c r="K82" s="11" t="inlineStr">
        <is>
          <t>3 minutes calming waltz breathing.</t>
        </is>
      </c>
      <c r="L82" s="11" t="inlineStr">
        <is>
          <t>Pace yourself gently; all moves are customizable.</t>
        </is>
      </c>
      <c r="M82" s="11" t="inlineStr">
        <is>
          <t>https://www.youtube.com/results?search_query=20+minute+upbeat+bollywood+dance+workout+home</t>
        </is>
      </c>
    </row>
    <row r="83" ht="32" customHeight="1">
      <c r="A83" s="10" t="inlineStr">
        <is>
          <t>2027-01-13</t>
        </is>
      </c>
      <c r="B83" s="10" t="n">
        <v>82</v>
      </c>
      <c r="C83" s="10" t="inlineStr">
        <is>
          <t>Wednesday</t>
        </is>
      </c>
      <c r="D83" s="13" t="inlineStr">
        <is>
          <t>REST DAY</t>
        </is>
      </c>
      <c r="E83" s="11" t="inlineStr">
        <is>
          <t>REST DAY — Rest, Recover &amp; Nourish ❤️</t>
        </is>
      </c>
      <c r="F83" s="12" t="n">
        <v>0</v>
      </c>
      <c r="G83" s="12" t="n">
        <v>0</v>
      </c>
      <c r="H83" s="11" t="inlineStr">
        <is>
          <t>Restorative Rest</t>
        </is>
      </c>
      <c r="I83" s="11" t="inlineStr">
        <is>
          <t>Scheduled REST DAY (Wednesday) — Muscle recovery, sleep &amp; nervous system rest. Zero workout pressure! ❤️</t>
        </is>
      </c>
      <c r="J83" s="11" t="inlineStr">
        <is>
          <t>Zero workout assigned. Rest is 100% productive and honored. Keep hydration &amp; comfortable meals.</t>
        </is>
      </c>
      <c r="K83" s="11" t="inlineStr">
        <is>
          <t>Hand on heart, deep peaceful breathing, soothing chamomile or warm water.</t>
        </is>
      </c>
      <c r="L83" s="11" t="inlineStr">
        <is>
          <t>Optional gentle stroll around room if desired, never mandatory.</t>
        </is>
      </c>
      <c r="M83" s="11" t="inlineStr">
        <is>
          <t>N/A (Scheduled Rest Day)</t>
        </is>
      </c>
    </row>
    <row r="84" ht="32" customHeight="1">
      <c r="A84" s="10" t="inlineStr">
        <is>
          <t>2027-01-14</t>
        </is>
      </c>
      <c r="B84" s="10" t="n">
        <v>83</v>
      </c>
      <c r="C84" s="10" t="inlineStr">
        <is>
          <t>Thursday</t>
        </is>
      </c>
      <c r="D84" s="14" t="inlineStr">
        <is>
          <t>ZUMBA SESSION</t>
        </is>
      </c>
      <c r="E84" s="11" t="inlineStr">
        <is>
          <t>20-Min Full Body Zumba Fiesta &amp; Core Tone</t>
        </is>
      </c>
      <c r="F84" s="12" t="n">
        <v>20</v>
      </c>
      <c r="G84" s="12" t="n">
        <v>155</v>
      </c>
      <c r="H84" s="11" t="inlineStr">
        <is>
          <t>Zumba Fiesta &amp; Tone</t>
        </is>
      </c>
      <c r="I84" s="11" t="inlineStr">
        <is>
          <t>3 minutes dynamic dance warm-up. Full body dance rhythm that naturally engages your core, tones waist, and boosts endurance effortlessly.</t>
        </is>
      </c>
      <c r="J84" s="11" t="inlineStr">
        <is>
          <t>Cumbia Two-Step &amp; Pump (5 mins) • Bollywood Desi Thumka (5 mins) • Salsa Double Step (5 mins) • Samba Shimmy &amp; Reach (5 mins)</t>
        </is>
      </c>
      <c r="K84" s="11" t="inlineStr">
        <is>
          <t>3 minutes slow waltz flow and full body stretch.</t>
        </is>
      </c>
      <c r="L84" s="11" t="inlineStr">
        <is>
          <t>Omit quick pivots; maintain simple two-step touch.</t>
        </is>
      </c>
      <c r="M84" s="11" t="inlineStr">
        <is>
          <t>https://www.youtube.com/results?search_query=20+minute+zumba+dance+party+at+home+sweat+and+smile</t>
        </is>
      </c>
    </row>
    <row r="85" ht="32" customHeight="1">
      <c r="A85" s="10" t="inlineStr">
        <is>
          <t>2027-01-15</t>
        </is>
      </c>
      <c r="B85" s="10" t="n">
        <v>84</v>
      </c>
      <c r="C85" s="10" t="inlineStr">
        <is>
          <t>Friday</t>
        </is>
      </c>
      <c r="D85" s="14" t="inlineStr">
        <is>
          <t>ZUMBA SESSION</t>
        </is>
      </c>
      <c r="E85" s="11" t="inlineStr">
        <is>
          <t>22-Min High-Spirited Bollywood Beats Zumba Cardio</t>
        </is>
      </c>
      <c r="F85" s="12" t="n">
        <v>22</v>
      </c>
      <c r="G85" s="12" t="n">
        <v>175</v>
      </c>
      <c r="H85" s="11" t="inlineStr">
        <is>
          <t>Bollywood Anthem Dance</t>
        </is>
      </c>
      <c r="I85" s="11" t="inlineStr">
        <is>
          <t>3 minutes light bounce and shoulder rolls. Infectious beats and expressive hand gestures. Burns calories while feeling like a pure celebration!</t>
        </is>
      </c>
      <c r="J85" s="11" t="inlineStr">
        <is>
          <t>Dholak Beat March (6 mins) • Punjabi Folk Step (6 mins) • Bollywood Freestyle (5 mins) • Rhythmic Claps &amp; Sway (5 mins)</t>
        </is>
      </c>
      <c r="K85" s="11" t="inlineStr">
        <is>
          <t>3 minutes calming waltz breathing.</t>
        </is>
      </c>
      <c r="L85" s="11" t="inlineStr">
        <is>
          <t>Pace yourself gently; all moves are customizable.</t>
        </is>
      </c>
      <c r="M85" s="11" t="inlineStr">
        <is>
          <t>https://www.youtube.com/results?search_query=20+minute+upbeat+bollywood+dance+workout+home</t>
        </is>
      </c>
    </row>
    <row r="86" ht="32" customHeight="1">
      <c r="A86" s="10" t="inlineStr">
        <is>
          <t>2027-01-16</t>
        </is>
      </c>
      <c r="B86" s="10" t="n">
        <v>85</v>
      </c>
      <c r="C86" s="10" t="inlineStr">
        <is>
          <t>Saturday</t>
        </is>
      </c>
      <c r="D86" s="13" t="inlineStr">
        <is>
          <t>REST DAY</t>
        </is>
      </c>
      <c r="E86" s="11" t="inlineStr">
        <is>
          <t>REST DAY — Rest, Recover &amp; Nourish ❤️</t>
        </is>
      </c>
      <c r="F86" s="12" t="n">
        <v>0</v>
      </c>
      <c r="G86" s="12" t="n">
        <v>0</v>
      </c>
      <c r="H86" s="11" t="inlineStr">
        <is>
          <t>Restorative Rest</t>
        </is>
      </c>
      <c r="I86" s="11" t="inlineStr">
        <is>
          <t>Scheduled REST DAY (Saturday) — Muscle recovery, sleep &amp; nervous system rest. Zero workout pressure! ❤️</t>
        </is>
      </c>
      <c r="J86" s="11" t="inlineStr">
        <is>
          <t>Zero workout assigned. Rest is 100% productive and honored. Keep hydration &amp; comfortable meals.</t>
        </is>
      </c>
      <c r="K86" s="11" t="inlineStr">
        <is>
          <t>Hand on heart, deep peaceful breathing, soothing chamomile or warm water.</t>
        </is>
      </c>
      <c r="L86" s="11" t="inlineStr">
        <is>
          <t>Optional gentle stroll around room if desired, never mandatory.</t>
        </is>
      </c>
      <c r="M86" s="11" t="inlineStr">
        <is>
          <t>N/A (Scheduled Rest Day)</t>
        </is>
      </c>
    </row>
    <row r="87" ht="32" customHeight="1">
      <c r="A87" s="10" t="inlineStr">
        <is>
          <t>2027-01-17</t>
        </is>
      </c>
      <c r="B87" s="10" t="n">
        <v>86</v>
      </c>
      <c r="C87" s="10" t="inlineStr">
        <is>
          <t>Sunday</t>
        </is>
      </c>
      <c r="D87" s="13" t="inlineStr">
        <is>
          <t>REST DAY</t>
        </is>
      </c>
      <c r="E87" s="11" t="inlineStr">
        <is>
          <t>REST DAY — Rest, Recover &amp; Nourish ❤️</t>
        </is>
      </c>
      <c r="F87" s="12" t="n">
        <v>0</v>
      </c>
      <c r="G87" s="12" t="n">
        <v>0</v>
      </c>
      <c r="H87" s="11" t="inlineStr">
        <is>
          <t>Restorative Rest</t>
        </is>
      </c>
      <c r="I87" s="11" t="inlineStr">
        <is>
          <t>Scheduled REST DAY (Sunday) — Muscle recovery, sleep &amp; nervous system rest. Zero workout pressure! ❤️</t>
        </is>
      </c>
      <c r="J87" s="11" t="inlineStr">
        <is>
          <t>Zero workout assigned. Rest is 100% productive and honored. Keep hydration &amp; comfortable meals.</t>
        </is>
      </c>
      <c r="K87" s="11" t="inlineStr">
        <is>
          <t>Hand on heart, deep peaceful breathing, soothing chamomile or warm water.</t>
        </is>
      </c>
      <c r="L87" s="11" t="inlineStr">
        <is>
          <t>Optional gentle stroll around room if desired, never mandatory.</t>
        </is>
      </c>
      <c r="M87" s="11" t="inlineStr">
        <is>
          <t>N/A (Scheduled Rest Day)</t>
        </is>
      </c>
    </row>
    <row r="88" ht="32" customHeight="1">
      <c r="A88" s="10" t="inlineStr">
        <is>
          <t>2027-01-18</t>
        </is>
      </c>
      <c r="B88" s="10" t="n">
        <v>87</v>
      </c>
      <c r="C88" s="10" t="inlineStr">
        <is>
          <t>Monday</t>
        </is>
      </c>
      <c r="D88" s="14" t="inlineStr">
        <is>
          <t>ZUMBA SESSION</t>
        </is>
      </c>
      <c r="E88" s="11" t="inlineStr">
        <is>
          <t>20-Min Full Body Zumba Fiesta &amp; Core Tone</t>
        </is>
      </c>
      <c r="F88" s="12" t="n">
        <v>20</v>
      </c>
      <c r="G88" s="12" t="n">
        <v>155</v>
      </c>
      <c r="H88" s="11" t="inlineStr">
        <is>
          <t>Zumba Fiesta &amp; Tone</t>
        </is>
      </c>
      <c r="I88" s="11" t="inlineStr">
        <is>
          <t>3 minutes dynamic dance warm-up. Full body dance rhythm that naturally engages your core, tones waist, and boosts endurance effortlessly.</t>
        </is>
      </c>
      <c r="J88" s="11" t="inlineStr">
        <is>
          <t>Cumbia Two-Step &amp; Pump (5 mins) • Bollywood Desi Thumka (5 mins) • Salsa Double Step (5 mins) • Samba Shimmy &amp; Reach (5 mins)</t>
        </is>
      </c>
      <c r="K88" s="11" t="inlineStr">
        <is>
          <t>3 minutes slow waltz flow and full body stretch.</t>
        </is>
      </c>
      <c r="L88" s="11" t="inlineStr">
        <is>
          <t>Omit quick pivots; maintain simple two-step touch.</t>
        </is>
      </c>
      <c r="M88" s="11" t="inlineStr">
        <is>
          <t>https://www.youtube.com/results?search_query=20+minute+zumba+dance+party+at+home+sweat+and+smile</t>
        </is>
      </c>
    </row>
    <row r="89" ht="32" customHeight="1">
      <c r="A89" s="10" t="inlineStr">
        <is>
          <t>2027-01-19</t>
        </is>
      </c>
      <c r="B89" s="10" t="n">
        <v>88</v>
      </c>
      <c r="C89" s="10" t="inlineStr">
        <is>
          <t>Tuesday</t>
        </is>
      </c>
      <c r="D89" s="14" t="inlineStr">
        <is>
          <t>ZUMBA SESSION</t>
        </is>
      </c>
      <c r="E89" s="11" t="inlineStr">
        <is>
          <t>22-Min High-Spirited Bollywood Beats Zumba Cardio</t>
        </is>
      </c>
      <c r="F89" s="12" t="n">
        <v>22</v>
      </c>
      <c r="G89" s="12" t="n">
        <v>175</v>
      </c>
      <c r="H89" s="11" t="inlineStr">
        <is>
          <t>Bollywood Anthem Dance</t>
        </is>
      </c>
      <c r="I89" s="11" t="inlineStr">
        <is>
          <t>3 minutes light bounce and shoulder rolls. Infectious beats and expressive hand gestures. Burns calories while feeling like a pure celebration!</t>
        </is>
      </c>
      <c r="J89" s="11" t="inlineStr">
        <is>
          <t>Dholak Beat March (6 mins) • Punjabi Folk Step (6 mins) • Bollywood Freestyle (5 mins) • Rhythmic Claps &amp; Sway (5 mins)</t>
        </is>
      </c>
      <c r="K89" s="11" t="inlineStr">
        <is>
          <t>3 minutes calming waltz breathing.</t>
        </is>
      </c>
      <c r="L89" s="11" t="inlineStr">
        <is>
          <t>Pace yourself gently; all moves are customizable.</t>
        </is>
      </c>
      <c r="M89" s="11" t="inlineStr">
        <is>
          <t>https://www.youtube.com/results?search_query=20+minute+upbeat+bollywood+dance+workout+home</t>
        </is>
      </c>
    </row>
    <row r="90" ht="32" customHeight="1">
      <c r="A90" s="10" t="inlineStr">
        <is>
          <t>2027-01-20</t>
        </is>
      </c>
      <c r="B90" s="10" t="n">
        <v>89</v>
      </c>
      <c r="C90" s="10" t="inlineStr">
        <is>
          <t>Wednesday</t>
        </is>
      </c>
      <c r="D90" s="13" t="inlineStr">
        <is>
          <t>REST DAY</t>
        </is>
      </c>
      <c r="E90" s="11" t="inlineStr">
        <is>
          <t>REST DAY — Rest, Recover &amp; Nourish ❤️</t>
        </is>
      </c>
      <c r="F90" s="12" t="n">
        <v>0</v>
      </c>
      <c r="G90" s="12" t="n">
        <v>0</v>
      </c>
      <c r="H90" s="11" t="inlineStr">
        <is>
          <t>Restorative Rest</t>
        </is>
      </c>
      <c r="I90" s="11" t="inlineStr">
        <is>
          <t>Scheduled REST DAY (Wednesday) — Muscle recovery, sleep &amp; nervous system rest. Zero workout pressure! ❤️</t>
        </is>
      </c>
      <c r="J90" s="11" t="inlineStr">
        <is>
          <t>Zero workout assigned. Rest is 100% productive and honored. Keep hydration &amp; comfortable meals.</t>
        </is>
      </c>
      <c r="K90" s="11" t="inlineStr">
        <is>
          <t>Hand on heart, deep peaceful breathing, soothing chamomile or warm water.</t>
        </is>
      </c>
      <c r="L90" s="11" t="inlineStr">
        <is>
          <t>Optional gentle stroll around room if desired, never mandatory.</t>
        </is>
      </c>
      <c r="M90" s="11" t="inlineStr">
        <is>
          <t>N/A (Scheduled Rest Day)</t>
        </is>
      </c>
    </row>
    <row r="91" ht="32" customHeight="1">
      <c r="A91" s="10" t="inlineStr">
        <is>
          <t>2027-01-21</t>
        </is>
      </c>
      <c r="B91" s="10" t="n">
        <v>90</v>
      </c>
      <c r="C91" s="10" t="inlineStr">
        <is>
          <t>Thursday</t>
        </is>
      </c>
      <c r="D91" s="14" t="inlineStr">
        <is>
          <t>ZUMBA SESSION</t>
        </is>
      </c>
      <c r="E91" s="11" t="inlineStr">
        <is>
          <t>20-Min Full Body Zumba Fiesta &amp; Core Tone</t>
        </is>
      </c>
      <c r="F91" s="12" t="n">
        <v>20</v>
      </c>
      <c r="G91" s="12" t="n">
        <v>155</v>
      </c>
      <c r="H91" s="11" t="inlineStr">
        <is>
          <t>Zumba Fiesta &amp; Tone</t>
        </is>
      </c>
      <c r="I91" s="11" t="inlineStr">
        <is>
          <t>3 minutes dynamic dance warm-up. Full body dance rhythm that naturally engages your core, tones waist, and boosts endurance effortlessly.</t>
        </is>
      </c>
      <c r="J91" s="11" t="inlineStr">
        <is>
          <t>Cumbia Two-Step &amp; Pump (5 mins) • Bollywood Desi Thumka (5 mins) • Salsa Double Step (5 mins) • Samba Shimmy &amp; Reach (5 mins)</t>
        </is>
      </c>
      <c r="K91" s="11" t="inlineStr">
        <is>
          <t>3 minutes slow waltz flow and full body stretch.</t>
        </is>
      </c>
      <c r="L91" s="11" t="inlineStr">
        <is>
          <t>Omit quick pivots; maintain simple two-step touch.</t>
        </is>
      </c>
      <c r="M91" s="11" t="inlineStr">
        <is>
          <t>https://www.youtube.com/results?search_query=20+minute+zumba+dance+party+at+home+sweat+and+smile</t>
        </is>
      </c>
    </row>
    <row r="92" ht="32" customHeight="1">
      <c r="A92" s="10" t="inlineStr">
        <is>
          <t>2027-01-22</t>
        </is>
      </c>
      <c r="B92" s="10" t="n">
        <v>91</v>
      </c>
      <c r="C92" s="10" t="inlineStr">
        <is>
          <t>Friday</t>
        </is>
      </c>
      <c r="D92" s="14" t="inlineStr">
        <is>
          <t>ZUMBA SESSION</t>
        </is>
      </c>
      <c r="E92" s="11" t="inlineStr">
        <is>
          <t>22-Min High-Spirited Bollywood Beats Zumba Cardio</t>
        </is>
      </c>
      <c r="F92" s="12" t="n">
        <v>22</v>
      </c>
      <c r="G92" s="12" t="n">
        <v>175</v>
      </c>
      <c r="H92" s="11" t="inlineStr">
        <is>
          <t>Bollywood Anthem Dance</t>
        </is>
      </c>
      <c r="I92" s="11" t="inlineStr">
        <is>
          <t>3 minutes light bounce and shoulder rolls. Infectious beats and expressive hand gestures. Burns calories while feeling like a pure celebration!</t>
        </is>
      </c>
      <c r="J92" s="11" t="inlineStr">
        <is>
          <t>Dholak Beat March (6 mins) • Punjabi Folk Step (6 mins) • Bollywood Freestyle (5 mins) • Rhythmic Claps &amp; Sway (5 mins)</t>
        </is>
      </c>
      <c r="K92" s="11" t="inlineStr">
        <is>
          <t>3 minutes calming waltz breathing.</t>
        </is>
      </c>
      <c r="L92" s="11" t="inlineStr">
        <is>
          <t>Pace yourself gently; all moves are customizable.</t>
        </is>
      </c>
      <c r="M92" s="11" t="inlineStr">
        <is>
          <t>https://www.youtube.com/results?search_query=20+minute+upbeat+bollywood+dance+workout+home</t>
        </is>
      </c>
    </row>
    <row r="93" ht="32" customHeight="1">
      <c r="A93" s="10" t="inlineStr">
        <is>
          <t>2027-01-23</t>
        </is>
      </c>
      <c r="B93" s="10" t="n">
        <v>92</v>
      </c>
      <c r="C93" s="10" t="inlineStr">
        <is>
          <t>Saturday</t>
        </is>
      </c>
      <c r="D93" s="13" t="inlineStr">
        <is>
          <t>REST DAY</t>
        </is>
      </c>
      <c r="E93" s="11" t="inlineStr">
        <is>
          <t>REST DAY — Rest, Recover &amp; Nourish ❤️</t>
        </is>
      </c>
      <c r="F93" s="12" t="n">
        <v>0</v>
      </c>
      <c r="G93" s="12" t="n">
        <v>0</v>
      </c>
      <c r="H93" s="11" t="inlineStr">
        <is>
          <t>Restorative Rest</t>
        </is>
      </c>
      <c r="I93" s="11" t="inlineStr">
        <is>
          <t>Scheduled REST DAY (Saturday) — Muscle recovery, sleep &amp; nervous system rest. Zero workout pressure! ❤️</t>
        </is>
      </c>
      <c r="J93" s="11" t="inlineStr">
        <is>
          <t>Zero workout assigned. Rest is 100% productive and honored. Keep hydration &amp; comfortable meals.</t>
        </is>
      </c>
      <c r="K93" s="11" t="inlineStr">
        <is>
          <t>Hand on heart, deep peaceful breathing, soothing chamomile or warm water.</t>
        </is>
      </c>
      <c r="L93" s="11" t="inlineStr">
        <is>
          <t>Optional gentle stroll around room if desired, never mandatory.</t>
        </is>
      </c>
      <c r="M93" s="11" t="inlineStr">
        <is>
          <t>N/A (Scheduled Rest Day)</t>
        </is>
      </c>
    </row>
    <row r="94" ht="32" customHeight="1">
      <c r="A94" s="10" t="inlineStr">
        <is>
          <t>2027-01-24</t>
        </is>
      </c>
      <c r="B94" s="10" t="n">
        <v>93</v>
      </c>
      <c r="C94" s="10" t="inlineStr">
        <is>
          <t>Sunday</t>
        </is>
      </c>
      <c r="D94" s="13" t="inlineStr">
        <is>
          <t>REST DAY</t>
        </is>
      </c>
      <c r="E94" s="11" t="inlineStr">
        <is>
          <t>REST DAY — Rest, Recover &amp; Nourish ❤️</t>
        </is>
      </c>
      <c r="F94" s="12" t="n">
        <v>0</v>
      </c>
      <c r="G94" s="12" t="n">
        <v>0</v>
      </c>
      <c r="H94" s="11" t="inlineStr">
        <is>
          <t>Restorative Rest</t>
        </is>
      </c>
      <c r="I94" s="11" t="inlineStr">
        <is>
          <t>Scheduled REST DAY (Sunday) — Muscle recovery, sleep &amp; nervous system rest. Zero workout pressure! ❤️</t>
        </is>
      </c>
      <c r="J94" s="11" t="inlineStr">
        <is>
          <t>Zero workout assigned. Rest is 100% productive and honored. Keep hydration &amp; comfortable meals.</t>
        </is>
      </c>
      <c r="K94" s="11" t="inlineStr">
        <is>
          <t>Hand on heart, deep peaceful breathing, soothing chamomile or warm water.</t>
        </is>
      </c>
      <c r="L94" s="11" t="inlineStr">
        <is>
          <t>Optional gentle stroll around room if desired, never mandatory.</t>
        </is>
      </c>
      <c r="M94" s="11" t="inlineStr">
        <is>
          <t>N/A (Scheduled Rest Day)</t>
        </is>
      </c>
    </row>
    <row r="95" ht="32" customHeight="1">
      <c r="A95" s="10" t="inlineStr">
        <is>
          <t>2027-01-25</t>
        </is>
      </c>
      <c r="B95" s="10" t="n">
        <v>94</v>
      </c>
      <c r="C95" s="10" t="inlineStr">
        <is>
          <t>Monday</t>
        </is>
      </c>
      <c r="D95" s="14" t="inlineStr">
        <is>
          <t>ZUMBA SESSION</t>
        </is>
      </c>
      <c r="E95" s="11" t="inlineStr">
        <is>
          <t>20-Min Full Body Zumba Fiesta &amp; Core Tone</t>
        </is>
      </c>
      <c r="F95" s="12" t="n">
        <v>20</v>
      </c>
      <c r="G95" s="12" t="n">
        <v>155</v>
      </c>
      <c r="H95" s="11" t="inlineStr">
        <is>
          <t>Zumba Fiesta &amp; Tone</t>
        </is>
      </c>
      <c r="I95" s="11" t="inlineStr">
        <is>
          <t>3 minutes dynamic dance warm-up. Full body dance rhythm that naturally engages your core, tones waist, and boosts endurance effortlessly.</t>
        </is>
      </c>
      <c r="J95" s="11" t="inlineStr">
        <is>
          <t>Cumbia Two-Step &amp; Pump (5 mins) • Bollywood Desi Thumka (5 mins) • Salsa Double Step (5 mins) • Samba Shimmy &amp; Reach (5 mins)</t>
        </is>
      </c>
      <c r="K95" s="11" t="inlineStr">
        <is>
          <t>3 minutes slow waltz flow and full body stretch.</t>
        </is>
      </c>
      <c r="L95" s="11" t="inlineStr">
        <is>
          <t>Omit quick pivots; maintain simple two-step touch.</t>
        </is>
      </c>
      <c r="M95" s="11" t="inlineStr">
        <is>
          <t>https://www.youtube.com/results?search_query=20+minute+zumba+dance+party+at+home+sweat+and+smile</t>
        </is>
      </c>
    </row>
    <row r="96" ht="32" customHeight="1">
      <c r="A96" s="10" t="inlineStr">
        <is>
          <t>2027-01-26</t>
        </is>
      </c>
      <c r="B96" s="10" t="n">
        <v>95</v>
      </c>
      <c r="C96" s="10" t="inlineStr">
        <is>
          <t>Tuesday</t>
        </is>
      </c>
      <c r="D96" s="14" t="inlineStr">
        <is>
          <t>ZUMBA SESSION</t>
        </is>
      </c>
      <c r="E96" s="11" t="inlineStr">
        <is>
          <t>22-Min High-Spirited Bollywood Beats Zumba Cardio</t>
        </is>
      </c>
      <c r="F96" s="12" t="n">
        <v>22</v>
      </c>
      <c r="G96" s="12" t="n">
        <v>175</v>
      </c>
      <c r="H96" s="11" t="inlineStr">
        <is>
          <t>Bollywood Anthem Dance</t>
        </is>
      </c>
      <c r="I96" s="11" t="inlineStr">
        <is>
          <t>3 minutes light bounce and shoulder rolls. Infectious beats and expressive hand gestures. Burns calories while feeling like a pure celebration!</t>
        </is>
      </c>
      <c r="J96" s="11" t="inlineStr">
        <is>
          <t>Dholak Beat March (6 mins) • Punjabi Folk Step (6 mins) • Bollywood Freestyle (5 mins) • Rhythmic Claps &amp; Sway (5 mins)</t>
        </is>
      </c>
      <c r="K96" s="11" t="inlineStr">
        <is>
          <t>3 minutes calming waltz breathing.</t>
        </is>
      </c>
      <c r="L96" s="11" t="inlineStr">
        <is>
          <t>Pace yourself gently; all moves are customizable.</t>
        </is>
      </c>
      <c r="M96" s="11" t="inlineStr">
        <is>
          <t>https://www.youtube.com/results?search_query=20+minute+upbeat+bollywood+dance+workout+home</t>
        </is>
      </c>
    </row>
    <row r="97" ht="32" customHeight="1">
      <c r="A97" s="10" t="inlineStr">
        <is>
          <t>2027-01-27</t>
        </is>
      </c>
      <c r="B97" s="10" t="n">
        <v>96</v>
      </c>
      <c r="C97" s="10" t="inlineStr">
        <is>
          <t>Wednesday</t>
        </is>
      </c>
      <c r="D97" s="13" t="inlineStr">
        <is>
          <t>REST DAY</t>
        </is>
      </c>
      <c r="E97" s="11" t="inlineStr">
        <is>
          <t>REST DAY — Rest, Recover &amp; Nourish ❤️</t>
        </is>
      </c>
      <c r="F97" s="12" t="n">
        <v>0</v>
      </c>
      <c r="G97" s="12" t="n">
        <v>0</v>
      </c>
      <c r="H97" s="11" t="inlineStr">
        <is>
          <t>Restorative Rest</t>
        </is>
      </c>
      <c r="I97" s="11" t="inlineStr">
        <is>
          <t>Scheduled REST DAY (Wednesday) — Muscle recovery, sleep &amp; nervous system rest. Zero workout pressure! ❤️</t>
        </is>
      </c>
      <c r="J97" s="11" t="inlineStr">
        <is>
          <t>Zero workout assigned. Rest is 100% productive and honored. Keep hydration &amp; comfortable meals.</t>
        </is>
      </c>
      <c r="K97" s="11" t="inlineStr">
        <is>
          <t>Hand on heart, deep peaceful breathing, soothing chamomile or warm water.</t>
        </is>
      </c>
      <c r="L97" s="11" t="inlineStr">
        <is>
          <t>Optional gentle stroll around room if desired, never mandatory.</t>
        </is>
      </c>
      <c r="M97" s="11" t="inlineStr">
        <is>
          <t>N/A (Scheduled Rest Day)</t>
        </is>
      </c>
    </row>
    <row r="98" ht="32" customHeight="1">
      <c r="A98" s="10" t="inlineStr">
        <is>
          <t>2027-01-28</t>
        </is>
      </c>
      <c r="B98" s="10" t="n">
        <v>97</v>
      </c>
      <c r="C98" s="10" t="inlineStr">
        <is>
          <t>Thursday</t>
        </is>
      </c>
      <c r="D98" s="14" t="inlineStr">
        <is>
          <t>ZUMBA SESSION</t>
        </is>
      </c>
      <c r="E98" s="11" t="inlineStr">
        <is>
          <t>20-Min Full Body Zumba Fiesta &amp; Core Tone</t>
        </is>
      </c>
      <c r="F98" s="12" t="n">
        <v>20</v>
      </c>
      <c r="G98" s="12" t="n">
        <v>155</v>
      </c>
      <c r="H98" s="11" t="inlineStr">
        <is>
          <t>Zumba Fiesta &amp; Tone</t>
        </is>
      </c>
      <c r="I98" s="11" t="inlineStr">
        <is>
          <t>3 minutes dynamic dance warm-up. Full body dance rhythm that naturally engages your core, tones waist, and boosts endurance effortlessly.</t>
        </is>
      </c>
      <c r="J98" s="11" t="inlineStr">
        <is>
          <t>Cumbia Two-Step &amp; Pump (5 mins) • Bollywood Desi Thumka (5 mins) • Salsa Double Step (5 mins) • Samba Shimmy &amp; Reach (5 mins)</t>
        </is>
      </c>
      <c r="K98" s="11" t="inlineStr">
        <is>
          <t>3 minutes slow waltz flow and full body stretch.</t>
        </is>
      </c>
      <c r="L98" s="11" t="inlineStr">
        <is>
          <t>Omit quick pivots; maintain simple two-step touch.</t>
        </is>
      </c>
      <c r="M98" s="11" t="inlineStr">
        <is>
          <t>https://www.youtube.com/results?search_query=20+minute+zumba+dance+party+at+home+sweat+and+smile</t>
        </is>
      </c>
    </row>
    <row r="99" ht="32" customHeight="1">
      <c r="A99" s="10" t="inlineStr">
        <is>
          <t>2027-01-29</t>
        </is>
      </c>
      <c r="B99" s="10" t="n">
        <v>98</v>
      </c>
      <c r="C99" s="10" t="inlineStr">
        <is>
          <t>Friday</t>
        </is>
      </c>
      <c r="D99" s="14" t="inlineStr">
        <is>
          <t>ZUMBA SESSION</t>
        </is>
      </c>
      <c r="E99" s="11" t="inlineStr">
        <is>
          <t>22-Min High-Spirited Bollywood Beats Zumba Cardio</t>
        </is>
      </c>
      <c r="F99" s="12" t="n">
        <v>22</v>
      </c>
      <c r="G99" s="12" t="n">
        <v>175</v>
      </c>
      <c r="H99" s="11" t="inlineStr">
        <is>
          <t>Bollywood Anthem Dance</t>
        </is>
      </c>
      <c r="I99" s="11" t="inlineStr">
        <is>
          <t>3 minutes light bounce and shoulder rolls. Infectious beats and expressive hand gestures. Burns calories while feeling like a pure celebration!</t>
        </is>
      </c>
      <c r="J99" s="11" t="inlineStr">
        <is>
          <t>Dholak Beat March (6 mins) • Punjabi Folk Step (6 mins) • Bollywood Freestyle (5 mins) • Rhythmic Claps &amp; Sway (5 mins)</t>
        </is>
      </c>
      <c r="K99" s="11" t="inlineStr">
        <is>
          <t>3 minutes calming waltz breathing.</t>
        </is>
      </c>
      <c r="L99" s="11" t="inlineStr">
        <is>
          <t>Pace yourself gently; all moves are customizable.</t>
        </is>
      </c>
      <c r="M99" s="11" t="inlineStr">
        <is>
          <t>https://www.youtube.com/results?search_query=20+minute+upbeat+bollywood+dance+workout+home</t>
        </is>
      </c>
    </row>
    <row r="100" ht="32" customHeight="1">
      <c r="A100" s="10" t="inlineStr">
        <is>
          <t>2027-01-30</t>
        </is>
      </c>
      <c r="B100" s="10" t="n">
        <v>99</v>
      </c>
      <c r="C100" s="10" t="inlineStr">
        <is>
          <t>Saturday</t>
        </is>
      </c>
      <c r="D100" s="13" t="inlineStr">
        <is>
          <t>REST DAY</t>
        </is>
      </c>
      <c r="E100" s="11" t="inlineStr">
        <is>
          <t>REST DAY — Rest, Recover &amp; Nourish ❤️</t>
        </is>
      </c>
      <c r="F100" s="12" t="n">
        <v>0</v>
      </c>
      <c r="G100" s="12" t="n">
        <v>0</v>
      </c>
      <c r="H100" s="11" t="inlineStr">
        <is>
          <t>Restorative Rest</t>
        </is>
      </c>
      <c r="I100" s="11" t="inlineStr">
        <is>
          <t>Scheduled REST DAY (Saturday) — Muscle recovery, sleep &amp; nervous system rest. Zero workout pressure! ❤️</t>
        </is>
      </c>
      <c r="J100" s="11" t="inlineStr">
        <is>
          <t>Zero workout assigned. Rest is 100% productive and honored. Keep hydration &amp; comfortable meals.</t>
        </is>
      </c>
      <c r="K100" s="11" t="inlineStr">
        <is>
          <t>Hand on heart, deep peaceful breathing, soothing chamomile or warm water.</t>
        </is>
      </c>
      <c r="L100" s="11" t="inlineStr">
        <is>
          <t>Optional gentle stroll around room if desired, never mandatory.</t>
        </is>
      </c>
      <c r="M100" s="11" t="inlineStr">
        <is>
          <t>N/A (Scheduled Rest Day)</t>
        </is>
      </c>
    </row>
    <row r="101" ht="32" customHeight="1">
      <c r="A101" s="10" t="inlineStr">
        <is>
          <t>2027-01-31</t>
        </is>
      </c>
      <c r="B101" s="10" t="n">
        <v>100</v>
      </c>
      <c r="C101" s="10" t="inlineStr">
        <is>
          <t>Sunday</t>
        </is>
      </c>
      <c r="D101" s="13" t="inlineStr">
        <is>
          <t>REST DAY</t>
        </is>
      </c>
      <c r="E101" s="11" t="inlineStr">
        <is>
          <t>REST DAY — Rest, Recover &amp; Nourish ❤️</t>
        </is>
      </c>
      <c r="F101" s="12" t="n">
        <v>0</v>
      </c>
      <c r="G101" s="12" t="n">
        <v>0</v>
      </c>
      <c r="H101" s="11" t="inlineStr">
        <is>
          <t>Restorative Rest</t>
        </is>
      </c>
      <c r="I101" s="11" t="inlineStr">
        <is>
          <t>Scheduled REST DAY (Sunday) — Muscle recovery, sleep &amp; nervous system rest. Zero workout pressure! ❤️</t>
        </is>
      </c>
      <c r="J101" s="11" t="inlineStr">
        <is>
          <t>Zero workout assigned. Rest is 100% productive and honored. Keep hydration &amp; comfortable meals.</t>
        </is>
      </c>
      <c r="K101" s="11" t="inlineStr">
        <is>
          <t>Hand on heart, deep peaceful breathing, soothing chamomile or warm water.</t>
        </is>
      </c>
      <c r="L101" s="11" t="inlineStr">
        <is>
          <t>Optional gentle stroll around room if desired, never mandatory.</t>
        </is>
      </c>
      <c r="M101" s="11" t="inlineStr">
        <is>
          <t>N/A (Scheduled Rest Day)</t>
        </is>
      </c>
    </row>
    <row r="102" ht="32" customHeight="1">
      <c r="A102" s="10" t="inlineStr">
        <is>
          <t>2027-02-01</t>
        </is>
      </c>
      <c r="B102" s="10" t="n">
        <v>101</v>
      </c>
      <c r="C102" s="10" t="inlineStr">
        <is>
          <t>Monday</t>
        </is>
      </c>
      <c r="D102" s="14" t="inlineStr">
        <is>
          <t>ZUMBA SESSION</t>
        </is>
      </c>
      <c r="E102" s="11" t="inlineStr">
        <is>
          <t>20-Min Full Body Zumba Fiesta &amp; Core Tone</t>
        </is>
      </c>
      <c r="F102" s="12" t="n">
        <v>20</v>
      </c>
      <c r="G102" s="12" t="n">
        <v>155</v>
      </c>
      <c r="H102" s="11" t="inlineStr">
        <is>
          <t>Zumba Fiesta &amp; Tone</t>
        </is>
      </c>
      <c r="I102" s="11" t="inlineStr">
        <is>
          <t>3 minutes dynamic dance warm-up. Full body dance rhythm that naturally engages your core, tones waist, and boosts endurance effortlessly.</t>
        </is>
      </c>
      <c r="J102" s="11" t="inlineStr">
        <is>
          <t>Cumbia Two-Step &amp; Pump (5 mins) • Bollywood Desi Thumka (5 mins) • Salsa Double Step (5 mins) • Samba Shimmy &amp; Reach (5 mins)</t>
        </is>
      </c>
      <c r="K102" s="11" t="inlineStr">
        <is>
          <t>3 minutes slow waltz flow and full body stretch.</t>
        </is>
      </c>
      <c r="L102" s="11" t="inlineStr">
        <is>
          <t>Omit quick pivots; maintain simple two-step touch.</t>
        </is>
      </c>
      <c r="M102" s="11" t="inlineStr">
        <is>
          <t>https://www.youtube.com/results?search_query=20+minute+zumba+dance+party+at+home+sweat+and+smile</t>
        </is>
      </c>
    </row>
    <row r="103" ht="32" customHeight="1">
      <c r="A103" s="10" t="inlineStr">
        <is>
          <t>2027-02-02</t>
        </is>
      </c>
      <c r="B103" s="10" t="n">
        <v>102</v>
      </c>
      <c r="C103" s="10" t="inlineStr">
        <is>
          <t>Tuesday</t>
        </is>
      </c>
      <c r="D103" s="14" t="inlineStr">
        <is>
          <t>ZUMBA SESSION</t>
        </is>
      </c>
      <c r="E103" s="11" t="inlineStr">
        <is>
          <t>22-Min High-Spirited Bollywood Beats Zumba Cardio</t>
        </is>
      </c>
      <c r="F103" s="12" t="n">
        <v>22</v>
      </c>
      <c r="G103" s="12" t="n">
        <v>175</v>
      </c>
      <c r="H103" s="11" t="inlineStr">
        <is>
          <t>Bollywood Anthem Dance</t>
        </is>
      </c>
      <c r="I103" s="11" t="inlineStr">
        <is>
          <t>3 minutes light bounce and shoulder rolls. Infectious beats and expressive hand gestures. Burns calories while feeling like a pure celebration!</t>
        </is>
      </c>
      <c r="J103" s="11" t="inlineStr">
        <is>
          <t>Dholak Beat March (6 mins) • Punjabi Folk Step (6 mins) • Bollywood Freestyle (5 mins) • Rhythmic Claps &amp; Sway (5 mins)</t>
        </is>
      </c>
      <c r="K103" s="11" t="inlineStr">
        <is>
          <t>3 minutes calming waltz breathing.</t>
        </is>
      </c>
      <c r="L103" s="11" t="inlineStr">
        <is>
          <t>Pace yourself gently; all moves are customizable.</t>
        </is>
      </c>
      <c r="M103" s="11" t="inlineStr">
        <is>
          <t>https://www.youtube.com/results?search_query=20+minute+upbeat+bollywood+dance+workout+home</t>
        </is>
      </c>
    </row>
    <row r="104" ht="32" customHeight="1">
      <c r="A104" s="10" t="inlineStr">
        <is>
          <t>2027-02-03</t>
        </is>
      </c>
      <c r="B104" s="10" t="n">
        <v>103</v>
      </c>
      <c r="C104" s="10" t="inlineStr">
        <is>
          <t>Wednesday</t>
        </is>
      </c>
      <c r="D104" s="13" t="inlineStr">
        <is>
          <t>REST DAY</t>
        </is>
      </c>
      <c r="E104" s="11" t="inlineStr">
        <is>
          <t>REST DAY — Rest, Recover &amp; Nourish ❤️</t>
        </is>
      </c>
      <c r="F104" s="12" t="n">
        <v>0</v>
      </c>
      <c r="G104" s="12" t="n">
        <v>0</v>
      </c>
      <c r="H104" s="11" t="inlineStr">
        <is>
          <t>Restorative Rest</t>
        </is>
      </c>
      <c r="I104" s="11" t="inlineStr">
        <is>
          <t>Scheduled REST DAY (Wednesday) — Muscle recovery, sleep &amp; nervous system rest. Zero workout pressure! ❤️</t>
        </is>
      </c>
      <c r="J104" s="11" t="inlineStr">
        <is>
          <t>Zero workout assigned. Rest is 100% productive and honored. Keep hydration &amp; comfortable meals.</t>
        </is>
      </c>
      <c r="K104" s="11" t="inlineStr">
        <is>
          <t>Hand on heart, deep peaceful breathing, soothing chamomile or warm water.</t>
        </is>
      </c>
      <c r="L104" s="11" t="inlineStr">
        <is>
          <t>Optional gentle stroll around room if desired, never mandatory.</t>
        </is>
      </c>
      <c r="M104" s="11" t="inlineStr">
        <is>
          <t>N/A (Scheduled Rest Day)</t>
        </is>
      </c>
    </row>
    <row r="105" ht="32" customHeight="1">
      <c r="A105" s="10" t="inlineStr">
        <is>
          <t>2027-02-04</t>
        </is>
      </c>
      <c r="B105" s="10" t="n">
        <v>104</v>
      </c>
      <c r="C105" s="10" t="inlineStr">
        <is>
          <t>Thursday</t>
        </is>
      </c>
      <c r="D105" s="14" t="inlineStr">
        <is>
          <t>ZUMBA SESSION</t>
        </is>
      </c>
      <c r="E105" s="11" t="inlineStr">
        <is>
          <t>20-Min Full Body Zumba Fiesta &amp; Core Tone</t>
        </is>
      </c>
      <c r="F105" s="12" t="n">
        <v>20</v>
      </c>
      <c r="G105" s="12" t="n">
        <v>155</v>
      </c>
      <c r="H105" s="11" t="inlineStr">
        <is>
          <t>Zumba Fiesta &amp; Tone</t>
        </is>
      </c>
      <c r="I105" s="11" t="inlineStr">
        <is>
          <t>3 minutes dynamic dance warm-up. Full body dance rhythm that naturally engages your core, tones waist, and boosts endurance effortlessly.</t>
        </is>
      </c>
      <c r="J105" s="11" t="inlineStr">
        <is>
          <t>Cumbia Two-Step &amp; Pump (5 mins) • Bollywood Desi Thumka (5 mins) • Salsa Double Step (5 mins) • Samba Shimmy &amp; Reach (5 mins)</t>
        </is>
      </c>
      <c r="K105" s="11" t="inlineStr">
        <is>
          <t>3 minutes slow waltz flow and full body stretch.</t>
        </is>
      </c>
      <c r="L105" s="11" t="inlineStr">
        <is>
          <t>Omit quick pivots; maintain simple two-step touch.</t>
        </is>
      </c>
      <c r="M105" s="11" t="inlineStr">
        <is>
          <t>https://www.youtube.com/results?search_query=20+minute+zumba+dance+party+at+home+sweat+and+smile</t>
        </is>
      </c>
    </row>
    <row r="106" ht="32" customHeight="1">
      <c r="A106" s="10" t="inlineStr">
        <is>
          <t>2027-02-05</t>
        </is>
      </c>
      <c r="B106" s="10" t="n">
        <v>105</v>
      </c>
      <c r="C106" s="10" t="inlineStr">
        <is>
          <t>Friday</t>
        </is>
      </c>
      <c r="D106" s="14" t="inlineStr">
        <is>
          <t>ZUMBA SESSION</t>
        </is>
      </c>
      <c r="E106" s="11" t="inlineStr">
        <is>
          <t>22-Min High-Spirited Bollywood Beats Zumba Cardio</t>
        </is>
      </c>
      <c r="F106" s="12" t="n">
        <v>22</v>
      </c>
      <c r="G106" s="12" t="n">
        <v>175</v>
      </c>
      <c r="H106" s="11" t="inlineStr">
        <is>
          <t>Bollywood Anthem Dance</t>
        </is>
      </c>
      <c r="I106" s="11" t="inlineStr">
        <is>
          <t>3 minutes light bounce and shoulder rolls. Infectious beats and expressive hand gestures. Burns calories while feeling like a pure celebration!</t>
        </is>
      </c>
      <c r="J106" s="11" t="inlineStr">
        <is>
          <t>Dholak Beat March (6 mins) • Punjabi Folk Step (6 mins) • Bollywood Freestyle (5 mins) • Rhythmic Claps &amp; Sway (5 mins)</t>
        </is>
      </c>
      <c r="K106" s="11" t="inlineStr">
        <is>
          <t>3 minutes calming waltz breathing.</t>
        </is>
      </c>
      <c r="L106" s="11" t="inlineStr">
        <is>
          <t>Pace yourself gently; all moves are customizable.</t>
        </is>
      </c>
      <c r="M106" s="11" t="inlineStr">
        <is>
          <t>https://www.youtube.com/results?search_query=20+minute+upbeat+bollywood+dance+workout+home</t>
        </is>
      </c>
    </row>
    <row r="107" ht="32" customHeight="1">
      <c r="A107" s="10" t="inlineStr">
        <is>
          <t>2027-02-06</t>
        </is>
      </c>
      <c r="B107" s="10" t="n">
        <v>106</v>
      </c>
      <c r="C107" s="10" t="inlineStr">
        <is>
          <t>Saturday</t>
        </is>
      </c>
      <c r="D107" s="13" t="inlineStr">
        <is>
          <t>REST DAY</t>
        </is>
      </c>
      <c r="E107" s="11" t="inlineStr">
        <is>
          <t>REST DAY — Rest, Recover &amp; Nourish ❤️</t>
        </is>
      </c>
      <c r="F107" s="12" t="n">
        <v>0</v>
      </c>
      <c r="G107" s="12" t="n">
        <v>0</v>
      </c>
      <c r="H107" s="11" t="inlineStr">
        <is>
          <t>Restorative Rest</t>
        </is>
      </c>
      <c r="I107" s="11" t="inlineStr">
        <is>
          <t>Scheduled REST DAY (Saturday) — Muscle recovery, sleep &amp; nervous system rest. Zero workout pressure! ❤️</t>
        </is>
      </c>
      <c r="J107" s="11" t="inlineStr">
        <is>
          <t>Zero workout assigned. Rest is 100% productive and honored. Keep hydration &amp; comfortable meals.</t>
        </is>
      </c>
      <c r="K107" s="11" t="inlineStr">
        <is>
          <t>Hand on heart, deep peaceful breathing, soothing chamomile or warm water.</t>
        </is>
      </c>
      <c r="L107" s="11" t="inlineStr">
        <is>
          <t>Optional gentle stroll around room if desired, never mandatory.</t>
        </is>
      </c>
      <c r="M107" s="11" t="inlineStr">
        <is>
          <t>N/A (Scheduled Rest Day)</t>
        </is>
      </c>
    </row>
    <row r="108" ht="32" customHeight="1">
      <c r="A108" s="10" t="inlineStr">
        <is>
          <t>2027-02-07</t>
        </is>
      </c>
      <c r="B108" s="10" t="n">
        <v>107</v>
      </c>
      <c r="C108" s="10" t="inlineStr">
        <is>
          <t>Sunday</t>
        </is>
      </c>
      <c r="D108" s="13" t="inlineStr">
        <is>
          <t>REST DAY</t>
        </is>
      </c>
      <c r="E108" s="11" t="inlineStr">
        <is>
          <t>REST DAY — Rest, Recover &amp; Nourish ❤️</t>
        </is>
      </c>
      <c r="F108" s="12" t="n">
        <v>0</v>
      </c>
      <c r="G108" s="12" t="n">
        <v>0</v>
      </c>
      <c r="H108" s="11" t="inlineStr">
        <is>
          <t>Restorative Rest</t>
        </is>
      </c>
      <c r="I108" s="11" t="inlineStr">
        <is>
          <t>Scheduled REST DAY (Sunday) — Muscle recovery, sleep &amp; nervous system rest. Zero workout pressure! ❤️</t>
        </is>
      </c>
      <c r="J108" s="11" t="inlineStr">
        <is>
          <t>Zero workout assigned. Rest is 100% productive and honored. Keep hydration &amp; comfortable meals.</t>
        </is>
      </c>
      <c r="K108" s="11" t="inlineStr">
        <is>
          <t>Hand on heart, deep peaceful breathing, soothing chamomile or warm water.</t>
        </is>
      </c>
      <c r="L108" s="11" t="inlineStr">
        <is>
          <t>Optional gentle stroll around room if desired, never mandatory.</t>
        </is>
      </c>
      <c r="M108" s="11" t="inlineStr">
        <is>
          <t>N/A (Scheduled Rest Day)</t>
        </is>
      </c>
    </row>
    <row r="109" ht="32" customHeight="1">
      <c r="A109" s="10" t="inlineStr">
        <is>
          <t>2027-02-08</t>
        </is>
      </c>
      <c r="B109" s="10" t="n">
        <v>108</v>
      </c>
      <c r="C109" s="10" t="inlineStr">
        <is>
          <t>Monday</t>
        </is>
      </c>
      <c r="D109" s="14" t="inlineStr">
        <is>
          <t>ZUMBA SESSION</t>
        </is>
      </c>
      <c r="E109" s="11" t="inlineStr">
        <is>
          <t>20-Min Full Body Zumba Fiesta &amp; Core Tone</t>
        </is>
      </c>
      <c r="F109" s="12" t="n">
        <v>20</v>
      </c>
      <c r="G109" s="12" t="n">
        <v>155</v>
      </c>
      <c r="H109" s="11" t="inlineStr">
        <is>
          <t>Zumba Fiesta &amp; Tone</t>
        </is>
      </c>
      <c r="I109" s="11" t="inlineStr">
        <is>
          <t>3 minutes dynamic dance warm-up. Full body dance rhythm that naturally engages your core, tones waist, and boosts endurance effortlessly.</t>
        </is>
      </c>
      <c r="J109" s="11" t="inlineStr">
        <is>
          <t>Cumbia Two-Step &amp; Pump (5 mins) • Bollywood Desi Thumka (5 mins) • Salsa Double Step (5 mins) • Samba Shimmy &amp; Reach (5 mins)</t>
        </is>
      </c>
      <c r="K109" s="11" t="inlineStr">
        <is>
          <t>3 minutes slow waltz flow and full body stretch.</t>
        </is>
      </c>
      <c r="L109" s="11" t="inlineStr">
        <is>
          <t>Omit quick pivots; maintain simple two-step touch.</t>
        </is>
      </c>
      <c r="M109" s="11" t="inlineStr">
        <is>
          <t>https://www.youtube.com/results?search_query=20+minute+zumba+dance+party+at+home+sweat+and+smile</t>
        </is>
      </c>
    </row>
    <row r="110" ht="32" customHeight="1">
      <c r="A110" s="10" t="inlineStr">
        <is>
          <t>2027-02-09</t>
        </is>
      </c>
      <c r="B110" s="10" t="n">
        <v>109</v>
      </c>
      <c r="C110" s="10" t="inlineStr">
        <is>
          <t>Tuesday</t>
        </is>
      </c>
      <c r="D110" s="14" t="inlineStr">
        <is>
          <t>ZUMBA SESSION</t>
        </is>
      </c>
      <c r="E110" s="11" t="inlineStr">
        <is>
          <t>22-Min High-Spirited Bollywood Beats Zumba Cardio</t>
        </is>
      </c>
      <c r="F110" s="12" t="n">
        <v>22</v>
      </c>
      <c r="G110" s="12" t="n">
        <v>175</v>
      </c>
      <c r="H110" s="11" t="inlineStr">
        <is>
          <t>Bollywood Anthem Dance</t>
        </is>
      </c>
      <c r="I110" s="11" t="inlineStr">
        <is>
          <t>3 minutes light bounce and shoulder rolls. Infectious beats and expressive hand gestures. Burns calories while feeling like a pure celebration!</t>
        </is>
      </c>
      <c r="J110" s="11" t="inlineStr">
        <is>
          <t>Dholak Beat March (6 mins) • Punjabi Folk Step (6 mins) • Bollywood Freestyle (5 mins) • Rhythmic Claps &amp; Sway (5 mins)</t>
        </is>
      </c>
      <c r="K110" s="11" t="inlineStr">
        <is>
          <t>3 minutes calming waltz breathing.</t>
        </is>
      </c>
      <c r="L110" s="11" t="inlineStr">
        <is>
          <t>Pace yourself gently; all moves are customizable.</t>
        </is>
      </c>
      <c r="M110" s="11" t="inlineStr">
        <is>
          <t>https://www.youtube.com/results?search_query=20+minute+upbeat+bollywood+dance+workout+home</t>
        </is>
      </c>
    </row>
    <row r="111" ht="32" customHeight="1">
      <c r="A111" s="10" t="inlineStr">
        <is>
          <t>2027-02-10</t>
        </is>
      </c>
      <c r="B111" s="10" t="n">
        <v>110</v>
      </c>
      <c r="C111" s="10" t="inlineStr">
        <is>
          <t>Wednesday</t>
        </is>
      </c>
      <c r="D111" s="13" t="inlineStr">
        <is>
          <t>REST DAY</t>
        </is>
      </c>
      <c r="E111" s="11" t="inlineStr">
        <is>
          <t>REST DAY — Rest, Recover &amp; Nourish ❤️</t>
        </is>
      </c>
      <c r="F111" s="12" t="n">
        <v>0</v>
      </c>
      <c r="G111" s="12" t="n">
        <v>0</v>
      </c>
      <c r="H111" s="11" t="inlineStr">
        <is>
          <t>Restorative Rest</t>
        </is>
      </c>
      <c r="I111" s="11" t="inlineStr">
        <is>
          <t>Scheduled REST DAY (Wednesday) — Muscle recovery, sleep &amp; nervous system rest. Zero workout pressure! ❤️</t>
        </is>
      </c>
      <c r="J111" s="11" t="inlineStr">
        <is>
          <t>Zero workout assigned. Rest is 100% productive and honored. Keep hydration &amp; comfortable meals.</t>
        </is>
      </c>
      <c r="K111" s="11" t="inlineStr">
        <is>
          <t>Hand on heart, deep peaceful breathing, soothing chamomile or warm water.</t>
        </is>
      </c>
      <c r="L111" s="11" t="inlineStr">
        <is>
          <t>Optional gentle stroll around room if desired, never mandatory.</t>
        </is>
      </c>
      <c r="M111" s="11" t="inlineStr">
        <is>
          <t>N/A (Scheduled Rest Day)</t>
        </is>
      </c>
    </row>
    <row r="112" ht="32" customHeight="1">
      <c r="A112" s="10" t="inlineStr">
        <is>
          <t>2027-02-11</t>
        </is>
      </c>
      <c r="B112" s="10" t="n">
        <v>111</v>
      </c>
      <c r="C112" s="10" t="inlineStr">
        <is>
          <t>Thursday</t>
        </is>
      </c>
      <c r="D112" s="14" t="inlineStr">
        <is>
          <t>ZUMBA SESSION</t>
        </is>
      </c>
      <c r="E112" s="11" t="inlineStr">
        <is>
          <t>20-Min Full Body Zumba Fiesta &amp; Core Tone</t>
        </is>
      </c>
      <c r="F112" s="12" t="n">
        <v>20</v>
      </c>
      <c r="G112" s="12" t="n">
        <v>155</v>
      </c>
      <c r="H112" s="11" t="inlineStr">
        <is>
          <t>Zumba Fiesta &amp; Tone</t>
        </is>
      </c>
      <c r="I112" s="11" t="inlineStr">
        <is>
          <t>3 minutes dynamic dance warm-up. Full body dance rhythm that naturally engages your core, tones waist, and boosts endurance effortlessly.</t>
        </is>
      </c>
      <c r="J112" s="11" t="inlineStr">
        <is>
          <t>Cumbia Two-Step &amp; Pump (5 mins) • Bollywood Desi Thumka (5 mins) • Salsa Double Step (5 mins) • Samba Shimmy &amp; Reach (5 mins)</t>
        </is>
      </c>
      <c r="K112" s="11" t="inlineStr">
        <is>
          <t>3 minutes slow waltz flow and full body stretch.</t>
        </is>
      </c>
      <c r="L112" s="11" t="inlineStr">
        <is>
          <t>Omit quick pivots; maintain simple two-step touch.</t>
        </is>
      </c>
      <c r="M112" s="11" t="inlineStr">
        <is>
          <t>https://www.youtube.com/results?search_query=20+minute+zumba+dance+party+at+home+sweat+and+smile</t>
        </is>
      </c>
    </row>
    <row r="113" ht="32" customHeight="1">
      <c r="A113" s="10" t="inlineStr">
        <is>
          <t>2027-02-12</t>
        </is>
      </c>
      <c r="B113" s="10" t="n">
        <v>112</v>
      </c>
      <c r="C113" s="10" t="inlineStr">
        <is>
          <t>Friday</t>
        </is>
      </c>
      <c r="D113" s="14" t="inlineStr">
        <is>
          <t>ZUMBA SESSION</t>
        </is>
      </c>
      <c r="E113" s="11" t="inlineStr">
        <is>
          <t>22-Min High-Spirited Bollywood Beats Zumba Cardio</t>
        </is>
      </c>
      <c r="F113" s="12" t="n">
        <v>22</v>
      </c>
      <c r="G113" s="12" t="n">
        <v>175</v>
      </c>
      <c r="H113" s="11" t="inlineStr">
        <is>
          <t>Bollywood Anthem Dance</t>
        </is>
      </c>
      <c r="I113" s="11" t="inlineStr">
        <is>
          <t>3 minutes light bounce and shoulder rolls. Infectious beats and expressive hand gestures. Burns calories while feeling like a pure celebration!</t>
        </is>
      </c>
      <c r="J113" s="11" t="inlineStr">
        <is>
          <t>Dholak Beat March (6 mins) • Punjabi Folk Step (6 mins) • Bollywood Freestyle (5 mins) • Rhythmic Claps &amp; Sway (5 mins)</t>
        </is>
      </c>
      <c r="K113" s="11" t="inlineStr">
        <is>
          <t>3 minutes calming waltz breathing.</t>
        </is>
      </c>
      <c r="L113" s="11" t="inlineStr">
        <is>
          <t>Pace yourself gently; all moves are customizable.</t>
        </is>
      </c>
      <c r="M113" s="11" t="inlineStr">
        <is>
          <t>https://www.youtube.com/results?search_query=20+minute+upbeat+bollywood+dance+workout+home</t>
        </is>
      </c>
    </row>
    <row r="114" ht="32" customHeight="1">
      <c r="A114" s="10" t="inlineStr">
        <is>
          <t>2027-02-13</t>
        </is>
      </c>
      <c r="B114" s="10" t="n">
        <v>113</v>
      </c>
      <c r="C114" s="10" t="inlineStr">
        <is>
          <t>Saturday</t>
        </is>
      </c>
      <c r="D114" s="13" t="inlineStr">
        <is>
          <t>REST DAY</t>
        </is>
      </c>
      <c r="E114" s="11" t="inlineStr">
        <is>
          <t>REST DAY — Rest, Recover &amp; Nourish ❤️</t>
        </is>
      </c>
      <c r="F114" s="12" t="n">
        <v>0</v>
      </c>
      <c r="G114" s="12" t="n">
        <v>0</v>
      </c>
      <c r="H114" s="11" t="inlineStr">
        <is>
          <t>Restorative Rest</t>
        </is>
      </c>
      <c r="I114" s="11" t="inlineStr">
        <is>
          <t>Scheduled REST DAY (Saturday) — Muscle recovery, sleep &amp; nervous system rest. Zero workout pressure! ❤️</t>
        </is>
      </c>
      <c r="J114" s="11" t="inlineStr">
        <is>
          <t>Zero workout assigned. Rest is 100% productive and honored. Keep hydration &amp; comfortable meals.</t>
        </is>
      </c>
      <c r="K114" s="11" t="inlineStr">
        <is>
          <t>Hand on heart, deep peaceful breathing, soothing chamomile or warm water.</t>
        </is>
      </c>
      <c r="L114" s="11" t="inlineStr">
        <is>
          <t>Optional gentle stroll around room if desired, never mandatory.</t>
        </is>
      </c>
      <c r="M114" s="11" t="inlineStr">
        <is>
          <t>N/A (Scheduled Rest Day)</t>
        </is>
      </c>
    </row>
    <row r="115" ht="32" customHeight="1">
      <c r="A115" s="10" t="inlineStr">
        <is>
          <t>2027-02-14</t>
        </is>
      </c>
      <c r="B115" s="10" t="n">
        <v>114</v>
      </c>
      <c r="C115" s="10" t="inlineStr">
        <is>
          <t>Sunday</t>
        </is>
      </c>
      <c r="D115" s="13" t="inlineStr">
        <is>
          <t>REST DAY</t>
        </is>
      </c>
      <c r="E115" s="11" t="inlineStr">
        <is>
          <t>REST DAY — Rest, Recover &amp; Nourish ❤️</t>
        </is>
      </c>
      <c r="F115" s="12" t="n">
        <v>0</v>
      </c>
      <c r="G115" s="12" t="n">
        <v>0</v>
      </c>
      <c r="H115" s="11" t="inlineStr">
        <is>
          <t>Restorative Rest</t>
        </is>
      </c>
      <c r="I115" s="11" t="inlineStr">
        <is>
          <t>Scheduled REST DAY (Sunday) — Muscle recovery, sleep &amp; nervous system rest. Zero workout pressure! ❤️</t>
        </is>
      </c>
      <c r="J115" s="11" t="inlineStr">
        <is>
          <t>Zero workout assigned. Rest is 100% productive and honored. Keep hydration &amp; comfortable meals.</t>
        </is>
      </c>
      <c r="K115" s="11" t="inlineStr">
        <is>
          <t>Hand on heart, deep peaceful breathing, soothing chamomile or warm water.</t>
        </is>
      </c>
      <c r="L115" s="11" t="inlineStr">
        <is>
          <t>Optional gentle stroll around room if desired, never mandatory.</t>
        </is>
      </c>
      <c r="M115" s="11" t="inlineStr">
        <is>
          <t>N/A (Scheduled Rest Day)</t>
        </is>
      </c>
    </row>
    <row r="116" ht="32" customHeight="1">
      <c r="A116" s="10" t="inlineStr">
        <is>
          <t>2027-02-15</t>
        </is>
      </c>
      <c r="B116" s="10" t="n">
        <v>115</v>
      </c>
      <c r="C116" s="10" t="inlineStr">
        <is>
          <t>Monday</t>
        </is>
      </c>
      <c r="D116" s="14" t="inlineStr">
        <is>
          <t>ZUMBA SESSION</t>
        </is>
      </c>
      <c r="E116" s="11" t="inlineStr">
        <is>
          <t>20-Min Full Body Zumba Fiesta &amp; Core Tone</t>
        </is>
      </c>
      <c r="F116" s="12" t="n">
        <v>20</v>
      </c>
      <c r="G116" s="12" t="n">
        <v>155</v>
      </c>
      <c r="H116" s="11" t="inlineStr">
        <is>
          <t>Zumba Fiesta &amp; Tone</t>
        </is>
      </c>
      <c r="I116" s="11" t="inlineStr">
        <is>
          <t>3 minutes dynamic dance warm-up. Full body dance rhythm that naturally engages your core, tones waist, and boosts endurance effortlessly.</t>
        </is>
      </c>
      <c r="J116" s="11" t="inlineStr">
        <is>
          <t>Cumbia Two-Step &amp; Pump (5 mins) • Bollywood Desi Thumka (5 mins) • Salsa Double Step (5 mins) • Samba Shimmy &amp; Reach (5 mins)</t>
        </is>
      </c>
      <c r="K116" s="11" t="inlineStr">
        <is>
          <t>3 minutes slow waltz flow and full body stretch.</t>
        </is>
      </c>
      <c r="L116" s="11" t="inlineStr">
        <is>
          <t>Omit quick pivots; maintain simple two-step touch.</t>
        </is>
      </c>
      <c r="M116" s="11" t="inlineStr">
        <is>
          <t>https://www.youtube.com/results?search_query=20+minute+zumba+dance+party+at+home+sweat+and+smile</t>
        </is>
      </c>
    </row>
    <row r="117" ht="32" customHeight="1">
      <c r="A117" s="10" t="inlineStr">
        <is>
          <t>2027-02-16</t>
        </is>
      </c>
      <c r="B117" s="10" t="n">
        <v>116</v>
      </c>
      <c r="C117" s="10" t="inlineStr">
        <is>
          <t>Tuesday</t>
        </is>
      </c>
      <c r="D117" s="14" t="inlineStr">
        <is>
          <t>ZUMBA SESSION</t>
        </is>
      </c>
      <c r="E117" s="11" t="inlineStr">
        <is>
          <t>22-Min High-Spirited Bollywood Beats Zumba Cardio</t>
        </is>
      </c>
      <c r="F117" s="12" t="n">
        <v>22</v>
      </c>
      <c r="G117" s="12" t="n">
        <v>175</v>
      </c>
      <c r="H117" s="11" t="inlineStr">
        <is>
          <t>Bollywood Anthem Dance</t>
        </is>
      </c>
      <c r="I117" s="11" t="inlineStr">
        <is>
          <t>3 minutes light bounce and shoulder rolls. Infectious beats and expressive hand gestures. Burns calories while feeling like a pure celebration!</t>
        </is>
      </c>
      <c r="J117" s="11" t="inlineStr">
        <is>
          <t>Dholak Beat March (6 mins) • Punjabi Folk Step (6 mins) • Bollywood Freestyle (5 mins) • Rhythmic Claps &amp; Sway (5 mins)</t>
        </is>
      </c>
      <c r="K117" s="11" t="inlineStr">
        <is>
          <t>3 minutes calming waltz breathing.</t>
        </is>
      </c>
      <c r="L117" s="11" t="inlineStr">
        <is>
          <t>Pace yourself gently; all moves are customizable.</t>
        </is>
      </c>
      <c r="M117" s="11" t="inlineStr">
        <is>
          <t>https://www.youtube.com/results?search_query=20+minute+upbeat+bollywood+dance+workout+home</t>
        </is>
      </c>
    </row>
    <row r="118" ht="32" customHeight="1">
      <c r="A118" s="10" t="inlineStr">
        <is>
          <t>2027-02-17</t>
        </is>
      </c>
      <c r="B118" s="10" t="n">
        <v>117</v>
      </c>
      <c r="C118" s="10" t="inlineStr">
        <is>
          <t>Wednesday</t>
        </is>
      </c>
      <c r="D118" s="13" t="inlineStr">
        <is>
          <t>REST DAY</t>
        </is>
      </c>
      <c r="E118" s="11" t="inlineStr">
        <is>
          <t>REST DAY — Rest, Recover &amp; Nourish ❤️</t>
        </is>
      </c>
      <c r="F118" s="12" t="n">
        <v>0</v>
      </c>
      <c r="G118" s="12" t="n">
        <v>0</v>
      </c>
      <c r="H118" s="11" t="inlineStr">
        <is>
          <t>Restorative Rest</t>
        </is>
      </c>
      <c r="I118" s="11" t="inlineStr">
        <is>
          <t>Scheduled REST DAY (Wednesday) — Muscle recovery, sleep &amp; nervous system rest. Zero workout pressure! ❤️</t>
        </is>
      </c>
      <c r="J118" s="11" t="inlineStr">
        <is>
          <t>Zero workout assigned. Rest is 100% productive and honored. Keep hydration &amp; comfortable meals.</t>
        </is>
      </c>
      <c r="K118" s="11" t="inlineStr">
        <is>
          <t>Hand on heart, deep peaceful breathing, soothing chamomile or warm water.</t>
        </is>
      </c>
      <c r="L118" s="11" t="inlineStr">
        <is>
          <t>Optional gentle stroll around room if desired, never mandatory.</t>
        </is>
      </c>
      <c r="M118" s="11" t="inlineStr">
        <is>
          <t>N/A (Scheduled Rest Day)</t>
        </is>
      </c>
    </row>
    <row r="119" ht="32" customHeight="1">
      <c r="A119" s="10" t="inlineStr">
        <is>
          <t>2027-02-18</t>
        </is>
      </c>
      <c r="B119" s="10" t="n">
        <v>118</v>
      </c>
      <c r="C119" s="10" t="inlineStr">
        <is>
          <t>Thursday</t>
        </is>
      </c>
      <c r="D119" s="14" t="inlineStr">
        <is>
          <t>ZUMBA SESSION</t>
        </is>
      </c>
      <c r="E119" s="11" t="inlineStr">
        <is>
          <t>20-Min Full Body Zumba Fiesta &amp; Core Tone</t>
        </is>
      </c>
      <c r="F119" s="12" t="n">
        <v>20</v>
      </c>
      <c r="G119" s="12" t="n">
        <v>155</v>
      </c>
      <c r="H119" s="11" t="inlineStr">
        <is>
          <t>Zumba Fiesta &amp; Tone</t>
        </is>
      </c>
      <c r="I119" s="11" t="inlineStr">
        <is>
          <t>3 minutes dynamic dance warm-up. Full body dance rhythm that naturally engages your core, tones waist, and boosts endurance effortlessly.</t>
        </is>
      </c>
      <c r="J119" s="11" t="inlineStr">
        <is>
          <t>Cumbia Two-Step &amp; Pump (5 mins) • Bollywood Desi Thumka (5 mins) • Salsa Double Step (5 mins) • Samba Shimmy &amp; Reach (5 mins)</t>
        </is>
      </c>
      <c r="K119" s="11" t="inlineStr">
        <is>
          <t>3 minutes slow waltz flow and full body stretch.</t>
        </is>
      </c>
      <c r="L119" s="11" t="inlineStr">
        <is>
          <t>Omit quick pivots; maintain simple two-step touch.</t>
        </is>
      </c>
      <c r="M119" s="11" t="inlineStr">
        <is>
          <t>https://www.youtube.com/results?search_query=20+minute+zumba+dance+party+at+home+sweat+and+smile</t>
        </is>
      </c>
    </row>
    <row r="120" ht="32" customHeight="1">
      <c r="A120" s="10" t="inlineStr">
        <is>
          <t>2027-02-19</t>
        </is>
      </c>
      <c r="B120" s="10" t="n">
        <v>119</v>
      </c>
      <c r="C120" s="10" t="inlineStr">
        <is>
          <t>Friday</t>
        </is>
      </c>
      <c r="D120" s="14" t="inlineStr">
        <is>
          <t>ZUMBA SESSION</t>
        </is>
      </c>
      <c r="E120" s="11" t="inlineStr">
        <is>
          <t>22-Min High-Spirited Bollywood Beats Zumba Cardio</t>
        </is>
      </c>
      <c r="F120" s="12" t="n">
        <v>22</v>
      </c>
      <c r="G120" s="12" t="n">
        <v>175</v>
      </c>
      <c r="H120" s="11" t="inlineStr">
        <is>
          <t>Bollywood Anthem Dance</t>
        </is>
      </c>
      <c r="I120" s="11" t="inlineStr">
        <is>
          <t>3 minutes light bounce and shoulder rolls. Infectious beats and expressive hand gestures. Burns calories while feeling like a pure celebration!</t>
        </is>
      </c>
      <c r="J120" s="11" t="inlineStr">
        <is>
          <t>Dholak Beat March (6 mins) • Punjabi Folk Step (6 mins) • Bollywood Freestyle (5 mins) • Rhythmic Claps &amp; Sway (5 mins)</t>
        </is>
      </c>
      <c r="K120" s="11" t="inlineStr">
        <is>
          <t>3 minutes calming waltz breathing.</t>
        </is>
      </c>
      <c r="L120" s="11" t="inlineStr">
        <is>
          <t>Pace yourself gently; all moves are customizable.</t>
        </is>
      </c>
      <c r="M120" s="11" t="inlineStr">
        <is>
          <t>https://www.youtube.com/results?search_query=20+minute+upbeat+bollywood+dance+workout+home</t>
        </is>
      </c>
    </row>
    <row r="121" ht="32" customHeight="1">
      <c r="A121" s="10" t="inlineStr">
        <is>
          <t>2027-02-20</t>
        </is>
      </c>
      <c r="B121" s="10" t="n">
        <v>120</v>
      </c>
      <c r="C121" s="10" t="inlineStr">
        <is>
          <t>Saturday</t>
        </is>
      </c>
      <c r="D121" s="13" t="inlineStr">
        <is>
          <t>REST DAY</t>
        </is>
      </c>
      <c r="E121" s="11" t="inlineStr">
        <is>
          <t>REST DAY — Rest, Recover &amp; Nourish ❤️</t>
        </is>
      </c>
      <c r="F121" s="12" t="n">
        <v>0</v>
      </c>
      <c r="G121" s="12" t="n">
        <v>0</v>
      </c>
      <c r="H121" s="11" t="inlineStr">
        <is>
          <t>Restorative Rest</t>
        </is>
      </c>
      <c r="I121" s="11" t="inlineStr">
        <is>
          <t>Scheduled REST DAY (Saturday) — Muscle recovery, sleep &amp; nervous system rest. Zero workout pressure! ❤️</t>
        </is>
      </c>
      <c r="J121" s="11" t="inlineStr">
        <is>
          <t>Zero workout assigned. Rest is 100% productive and honored. Keep hydration &amp; comfortable meals.</t>
        </is>
      </c>
      <c r="K121" s="11" t="inlineStr">
        <is>
          <t>Hand on heart, deep peaceful breathing, soothing chamomile or warm water.</t>
        </is>
      </c>
      <c r="L121" s="11" t="inlineStr">
        <is>
          <t>Optional gentle stroll around room if desired, never mandatory.</t>
        </is>
      </c>
      <c r="M121" s="11" t="inlineStr">
        <is>
          <t>N/A (Scheduled Rest Day)</t>
        </is>
      </c>
    </row>
    <row r="122" ht="32" customHeight="1">
      <c r="A122" s="10" t="inlineStr">
        <is>
          <t>2027-02-21</t>
        </is>
      </c>
      <c r="B122" s="10" t="n">
        <v>121</v>
      </c>
      <c r="C122" s="10" t="inlineStr">
        <is>
          <t>Sunday</t>
        </is>
      </c>
      <c r="D122" s="13" t="inlineStr">
        <is>
          <t>REST DAY</t>
        </is>
      </c>
      <c r="E122" s="11" t="inlineStr">
        <is>
          <t>REST DAY — Rest, Recover &amp; Nourish ❤️</t>
        </is>
      </c>
      <c r="F122" s="12" t="n">
        <v>0</v>
      </c>
      <c r="G122" s="12" t="n">
        <v>0</v>
      </c>
      <c r="H122" s="11" t="inlineStr">
        <is>
          <t>Restorative Rest</t>
        </is>
      </c>
      <c r="I122" s="11" t="inlineStr">
        <is>
          <t>Scheduled REST DAY (Sunday) — Muscle recovery, sleep &amp; nervous system rest. Zero workout pressure! ❤️</t>
        </is>
      </c>
      <c r="J122" s="11" t="inlineStr">
        <is>
          <t>Zero workout assigned. Rest is 100% productive and honored. Keep hydration &amp; comfortable meals.</t>
        </is>
      </c>
      <c r="K122" s="11" t="inlineStr">
        <is>
          <t>Hand on heart, deep peaceful breathing, soothing chamomile or warm water.</t>
        </is>
      </c>
      <c r="L122" s="11" t="inlineStr">
        <is>
          <t>Optional gentle stroll around room if desired, never mandatory.</t>
        </is>
      </c>
      <c r="M122" s="11" t="inlineStr">
        <is>
          <t>N/A (Scheduled Rest Day)</t>
        </is>
      </c>
    </row>
    <row r="123" ht="32" customHeight="1">
      <c r="A123" s="10" t="inlineStr">
        <is>
          <t>2027-02-22</t>
        </is>
      </c>
      <c r="B123" s="10" t="n">
        <v>122</v>
      </c>
      <c r="C123" s="10" t="inlineStr">
        <is>
          <t>Monday</t>
        </is>
      </c>
      <c r="D123" s="14" t="inlineStr">
        <is>
          <t>ZUMBA SESSION</t>
        </is>
      </c>
      <c r="E123" s="11" t="inlineStr">
        <is>
          <t>20-Min Full Body Zumba Fiesta &amp; Core Tone</t>
        </is>
      </c>
      <c r="F123" s="12" t="n">
        <v>20</v>
      </c>
      <c r="G123" s="12" t="n">
        <v>155</v>
      </c>
      <c r="H123" s="11" t="inlineStr">
        <is>
          <t>Zumba Fiesta &amp; Tone</t>
        </is>
      </c>
      <c r="I123" s="11" t="inlineStr">
        <is>
          <t>3 minutes dynamic dance warm-up. Full body dance rhythm that naturally engages your core, tones waist, and boosts endurance effortlessly.</t>
        </is>
      </c>
      <c r="J123" s="11" t="inlineStr">
        <is>
          <t>Cumbia Two-Step &amp; Pump (5 mins) • Bollywood Desi Thumka (5 mins) • Salsa Double Step (5 mins) • Samba Shimmy &amp; Reach (5 mins)</t>
        </is>
      </c>
      <c r="K123" s="11" t="inlineStr">
        <is>
          <t>3 minutes slow waltz flow and full body stretch.</t>
        </is>
      </c>
      <c r="L123" s="11" t="inlineStr">
        <is>
          <t>Omit quick pivots; maintain simple two-step touch.</t>
        </is>
      </c>
      <c r="M123" s="11" t="inlineStr">
        <is>
          <t>https://www.youtube.com/results?search_query=20+minute+zumba+dance+party+at+home+sweat+and+smile</t>
        </is>
      </c>
    </row>
    <row r="124" ht="32" customHeight="1">
      <c r="A124" s="10" t="inlineStr">
        <is>
          <t>2027-02-23</t>
        </is>
      </c>
      <c r="B124" s="10" t="n">
        <v>123</v>
      </c>
      <c r="C124" s="10" t="inlineStr">
        <is>
          <t>Tuesday</t>
        </is>
      </c>
      <c r="D124" s="14" t="inlineStr">
        <is>
          <t>ZUMBA SESSION</t>
        </is>
      </c>
      <c r="E124" s="11" t="inlineStr">
        <is>
          <t>22-Min High-Spirited Bollywood Beats Zumba Cardio</t>
        </is>
      </c>
      <c r="F124" s="12" t="n">
        <v>22</v>
      </c>
      <c r="G124" s="12" t="n">
        <v>175</v>
      </c>
      <c r="H124" s="11" t="inlineStr">
        <is>
          <t>Bollywood Anthem Dance</t>
        </is>
      </c>
      <c r="I124" s="11" t="inlineStr">
        <is>
          <t>3 minutes light bounce and shoulder rolls. Infectious beats and expressive hand gestures. Burns calories while feeling like a pure celebration!</t>
        </is>
      </c>
      <c r="J124" s="11" t="inlineStr">
        <is>
          <t>Dholak Beat March (6 mins) • Punjabi Folk Step (6 mins) • Bollywood Freestyle (5 mins) • Rhythmic Claps &amp; Sway (5 mins)</t>
        </is>
      </c>
      <c r="K124" s="11" t="inlineStr">
        <is>
          <t>3 minutes calming waltz breathing.</t>
        </is>
      </c>
      <c r="L124" s="11" t="inlineStr">
        <is>
          <t>Pace yourself gently; all moves are customizable.</t>
        </is>
      </c>
      <c r="M124" s="11" t="inlineStr">
        <is>
          <t>https://www.youtube.com/results?search_query=20+minute+upbeat+bollywood+dance+workout+home</t>
        </is>
      </c>
    </row>
    <row r="125" ht="32" customHeight="1">
      <c r="A125" s="10" t="inlineStr">
        <is>
          <t>2027-02-24</t>
        </is>
      </c>
      <c r="B125" s="10" t="n">
        <v>124</v>
      </c>
      <c r="C125" s="10" t="inlineStr">
        <is>
          <t>Wednesday</t>
        </is>
      </c>
      <c r="D125" s="13" t="inlineStr">
        <is>
          <t>REST DAY</t>
        </is>
      </c>
      <c r="E125" s="11" t="inlineStr">
        <is>
          <t>REST DAY — Rest, Recover &amp; Nourish ❤️</t>
        </is>
      </c>
      <c r="F125" s="12" t="n">
        <v>0</v>
      </c>
      <c r="G125" s="12" t="n">
        <v>0</v>
      </c>
      <c r="H125" s="11" t="inlineStr">
        <is>
          <t>Restorative Rest</t>
        </is>
      </c>
      <c r="I125" s="11" t="inlineStr">
        <is>
          <t>Scheduled REST DAY (Wednesday) — Muscle recovery, sleep &amp; nervous system rest. Zero workout pressure! ❤️</t>
        </is>
      </c>
      <c r="J125" s="11" t="inlineStr">
        <is>
          <t>Zero workout assigned. Rest is 100% productive and honored. Keep hydration &amp; comfortable meals.</t>
        </is>
      </c>
      <c r="K125" s="11" t="inlineStr">
        <is>
          <t>Hand on heart, deep peaceful breathing, soothing chamomile or warm water.</t>
        </is>
      </c>
      <c r="L125" s="11" t="inlineStr">
        <is>
          <t>Optional gentle stroll around room if desired, never mandatory.</t>
        </is>
      </c>
      <c r="M125" s="11" t="inlineStr">
        <is>
          <t>N/A (Scheduled Rest Day)</t>
        </is>
      </c>
    </row>
    <row r="126" ht="32" customHeight="1">
      <c r="A126" s="10" t="inlineStr">
        <is>
          <t>2027-02-25</t>
        </is>
      </c>
      <c r="B126" s="10" t="n">
        <v>125</v>
      </c>
      <c r="C126" s="10" t="inlineStr">
        <is>
          <t>Thursday</t>
        </is>
      </c>
      <c r="D126" s="14" t="inlineStr">
        <is>
          <t>ZUMBA SESSION</t>
        </is>
      </c>
      <c r="E126" s="11" t="inlineStr">
        <is>
          <t>20-Min Full Body Zumba Fiesta &amp; Core Tone</t>
        </is>
      </c>
      <c r="F126" s="12" t="n">
        <v>20</v>
      </c>
      <c r="G126" s="12" t="n">
        <v>155</v>
      </c>
      <c r="H126" s="11" t="inlineStr">
        <is>
          <t>Zumba Fiesta &amp; Tone</t>
        </is>
      </c>
      <c r="I126" s="11" t="inlineStr">
        <is>
          <t>3 minutes dynamic dance warm-up. Full body dance rhythm that naturally engages your core, tones waist, and boosts endurance effortlessly.</t>
        </is>
      </c>
      <c r="J126" s="11" t="inlineStr">
        <is>
          <t>Cumbia Two-Step &amp; Pump (5 mins) • Bollywood Desi Thumka (5 mins) • Salsa Double Step (5 mins) • Samba Shimmy &amp; Reach (5 mins)</t>
        </is>
      </c>
      <c r="K126" s="11" t="inlineStr">
        <is>
          <t>3 minutes slow waltz flow and full body stretch.</t>
        </is>
      </c>
      <c r="L126" s="11" t="inlineStr">
        <is>
          <t>Omit quick pivots; maintain simple two-step touch.</t>
        </is>
      </c>
      <c r="M126" s="11" t="inlineStr">
        <is>
          <t>https://www.youtube.com/results?search_query=20+minute+zumba+dance+party+at+home+sweat+and+smile</t>
        </is>
      </c>
    </row>
    <row r="127" ht="32" customHeight="1">
      <c r="A127" s="10" t="inlineStr">
        <is>
          <t>2027-02-26</t>
        </is>
      </c>
      <c r="B127" s="10" t="n">
        <v>126</v>
      </c>
      <c r="C127" s="10" t="inlineStr">
        <is>
          <t>Friday</t>
        </is>
      </c>
      <c r="D127" s="14" t="inlineStr">
        <is>
          <t>ZUMBA SESSION</t>
        </is>
      </c>
      <c r="E127" s="11" t="inlineStr">
        <is>
          <t>22-Min High-Spirited Bollywood Beats Zumba Cardio</t>
        </is>
      </c>
      <c r="F127" s="12" t="n">
        <v>22</v>
      </c>
      <c r="G127" s="12" t="n">
        <v>175</v>
      </c>
      <c r="H127" s="11" t="inlineStr">
        <is>
          <t>Bollywood Anthem Dance</t>
        </is>
      </c>
      <c r="I127" s="11" t="inlineStr">
        <is>
          <t>3 minutes light bounce and shoulder rolls. Infectious beats and expressive hand gestures. Burns calories while feeling like a pure celebration!</t>
        </is>
      </c>
      <c r="J127" s="11" t="inlineStr">
        <is>
          <t>Dholak Beat March (6 mins) • Punjabi Folk Step (6 mins) • Bollywood Freestyle (5 mins) • Rhythmic Claps &amp; Sway (5 mins)</t>
        </is>
      </c>
      <c r="K127" s="11" t="inlineStr">
        <is>
          <t>3 minutes calming waltz breathing.</t>
        </is>
      </c>
      <c r="L127" s="11" t="inlineStr">
        <is>
          <t>Pace yourself gently; all moves are customizable.</t>
        </is>
      </c>
      <c r="M127" s="11" t="inlineStr">
        <is>
          <t>https://www.youtube.com/results?search_query=20+minute+upbeat+bollywood+dance+workout+home</t>
        </is>
      </c>
    </row>
    <row r="128" ht="32" customHeight="1">
      <c r="A128" s="10" t="inlineStr">
        <is>
          <t>2027-02-27</t>
        </is>
      </c>
      <c r="B128" s="10" t="n">
        <v>127</v>
      </c>
      <c r="C128" s="10" t="inlineStr">
        <is>
          <t>Saturday</t>
        </is>
      </c>
      <c r="D128" s="13" t="inlineStr">
        <is>
          <t>REST DAY</t>
        </is>
      </c>
      <c r="E128" s="11" t="inlineStr">
        <is>
          <t>REST DAY — Rest, Recover &amp; Nourish ❤️</t>
        </is>
      </c>
      <c r="F128" s="12" t="n">
        <v>0</v>
      </c>
      <c r="G128" s="12" t="n">
        <v>0</v>
      </c>
      <c r="H128" s="11" t="inlineStr">
        <is>
          <t>Restorative Rest</t>
        </is>
      </c>
      <c r="I128" s="11" t="inlineStr">
        <is>
          <t>Scheduled REST DAY (Saturday) — Muscle recovery, sleep &amp; nervous system rest. Zero workout pressure! ❤️</t>
        </is>
      </c>
      <c r="J128" s="11" t="inlineStr">
        <is>
          <t>Zero workout assigned. Rest is 100% productive and honored. Keep hydration &amp; comfortable meals.</t>
        </is>
      </c>
      <c r="K128" s="11" t="inlineStr">
        <is>
          <t>Hand on heart, deep peaceful breathing, soothing chamomile or warm water.</t>
        </is>
      </c>
      <c r="L128" s="11" t="inlineStr">
        <is>
          <t>Optional gentle stroll around room if desired, never mandatory.</t>
        </is>
      </c>
      <c r="M128" s="11" t="inlineStr">
        <is>
          <t>N/A (Scheduled Rest Day)</t>
        </is>
      </c>
    </row>
    <row r="129" ht="32" customHeight="1">
      <c r="A129" s="10" t="inlineStr">
        <is>
          <t>2027-02-28</t>
        </is>
      </c>
      <c r="B129" s="10" t="n">
        <v>128</v>
      </c>
      <c r="C129" s="10" t="inlineStr">
        <is>
          <t>Sunday</t>
        </is>
      </c>
      <c r="D129" s="13" t="inlineStr">
        <is>
          <t>REST DAY</t>
        </is>
      </c>
      <c r="E129" s="11" t="inlineStr">
        <is>
          <t>REST DAY — Rest, Recover &amp; Nourish ❤️</t>
        </is>
      </c>
      <c r="F129" s="12" t="n">
        <v>0</v>
      </c>
      <c r="G129" s="12" t="n">
        <v>0</v>
      </c>
      <c r="H129" s="11" t="inlineStr">
        <is>
          <t>Restorative Rest</t>
        </is>
      </c>
      <c r="I129" s="11" t="inlineStr">
        <is>
          <t>Scheduled REST DAY (Sunday) — Muscle recovery, sleep &amp; nervous system rest. Zero workout pressure! ❤️</t>
        </is>
      </c>
      <c r="J129" s="11" t="inlineStr">
        <is>
          <t>Zero workout assigned. Rest is 100% productive and honored. Keep hydration &amp; comfortable meals.</t>
        </is>
      </c>
      <c r="K129" s="11" t="inlineStr">
        <is>
          <t>Hand on heart, deep peaceful breathing, soothing chamomile or warm water.</t>
        </is>
      </c>
      <c r="L129" s="11" t="inlineStr">
        <is>
          <t>Optional gentle stroll around room if desired, never mandatory.</t>
        </is>
      </c>
      <c r="M129" s="11" t="inlineStr">
        <is>
          <t>N/A (Scheduled Rest Day)</t>
        </is>
      </c>
    </row>
    <row r="130" ht="32" customHeight="1">
      <c r="A130" s="10" t="inlineStr">
        <is>
          <t>2027-03-01</t>
        </is>
      </c>
      <c r="B130" s="10" t="n">
        <v>129</v>
      </c>
      <c r="C130" s="10" t="inlineStr">
        <is>
          <t>Monday</t>
        </is>
      </c>
      <c r="D130" s="14" t="inlineStr">
        <is>
          <t>ZUMBA SESSION</t>
        </is>
      </c>
      <c r="E130" s="11" t="inlineStr">
        <is>
          <t>20-Min Full Body Zumba Fiesta &amp; Core Tone</t>
        </is>
      </c>
      <c r="F130" s="12" t="n">
        <v>20</v>
      </c>
      <c r="G130" s="12" t="n">
        <v>155</v>
      </c>
      <c r="H130" s="11" t="inlineStr">
        <is>
          <t>Zumba Fiesta &amp; Tone</t>
        </is>
      </c>
      <c r="I130" s="11" t="inlineStr">
        <is>
          <t>3 minutes dynamic dance warm-up. Full body dance rhythm that naturally engages your core, tones waist, and boosts endurance effortlessly.</t>
        </is>
      </c>
      <c r="J130" s="11" t="inlineStr">
        <is>
          <t>Cumbia Two-Step &amp; Pump (5 mins) • Bollywood Desi Thumka (5 mins) • Salsa Double Step (5 mins) • Samba Shimmy &amp; Reach (5 mins)</t>
        </is>
      </c>
      <c r="K130" s="11" t="inlineStr">
        <is>
          <t>3 minutes slow waltz flow and full body stretch.</t>
        </is>
      </c>
      <c r="L130" s="11" t="inlineStr">
        <is>
          <t>Omit quick pivots; maintain simple two-step touch.</t>
        </is>
      </c>
      <c r="M130" s="11" t="inlineStr">
        <is>
          <t>https://www.youtube.com/results?search_query=20+minute+zumba+dance+party+at+home+sweat+and+smile</t>
        </is>
      </c>
    </row>
    <row r="131" ht="32" customHeight="1">
      <c r="A131" s="10" t="inlineStr">
        <is>
          <t>2027-03-02</t>
        </is>
      </c>
      <c r="B131" s="10" t="n">
        <v>130</v>
      </c>
      <c r="C131" s="10" t="inlineStr">
        <is>
          <t>Tuesday</t>
        </is>
      </c>
      <c r="D131" s="14" t="inlineStr">
        <is>
          <t>ZUMBA SESSION</t>
        </is>
      </c>
      <c r="E131" s="11" t="inlineStr">
        <is>
          <t>22-Min High-Spirited Bollywood Beats Zumba Cardio</t>
        </is>
      </c>
      <c r="F131" s="12" t="n">
        <v>22</v>
      </c>
      <c r="G131" s="12" t="n">
        <v>175</v>
      </c>
      <c r="H131" s="11" t="inlineStr">
        <is>
          <t>Bollywood Anthem Dance</t>
        </is>
      </c>
      <c r="I131" s="11" t="inlineStr">
        <is>
          <t>3 minutes light bounce and shoulder rolls. Infectious beats and expressive hand gestures. Burns calories while feeling like a pure celebration!</t>
        </is>
      </c>
      <c r="J131" s="11" t="inlineStr">
        <is>
          <t>Dholak Beat March (6 mins) • Punjabi Folk Step (6 mins) • Bollywood Freestyle (5 mins) • Rhythmic Claps &amp; Sway (5 mins)</t>
        </is>
      </c>
      <c r="K131" s="11" t="inlineStr">
        <is>
          <t>3 minutes calming waltz breathing.</t>
        </is>
      </c>
      <c r="L131" s="11" t="inlineStr">
        <is>
          <t>Pace yourself gently; all moves are customizable.</t>
        </is>
      </c>
      <c r="M131" s="11" t="inlineStr">
        <is>
          <t>https://www.youtube.com/results?search_query=20+minute+upbeat+bollywood+dance+workout+home</t>
        </is>
      </c>
    </row>
    <row r="132" ht="32" customHeight="1">
      <c r="A132" s="10" t="inlineStr">
        <is>
          <t>2027-03-03</t>
        </is>
      </c>
      <c r="B132" s="10" t="n">
        <v>131</v>
      </c>
      <c r="C132" s="10" t="inlineStr">
        <is>
          <t>Wednesday</t>
        </is>
      </c>
      <c r="D132" s="13" t="inlineStr">
        <is>
          <t>REST DAY</t>
        </is>
      </c>
      <c r="E132" s="11" t="inlineStr">
        <is>
          <t>REST DAY — Rest, Recover &amp; Nourish ❤️</t>
        </is>
      </c>
      <c r="F132" s="12" t="n">
        <v>0</v>
      </c>
      <c r="G132" s="12" t="n">
        <v>0</v>
      </c>
      <c r="H132" s="11" t="inlineStr">
        <is>
          <t>Restorative Rest</t>
        </is>
      </c>
      <c r="I132" s="11" t="inlineStr">
        <is>
          <t>Scheduled REST DAY (Wednesday) — Muscle recovery, sleep &amp; nervous system rest. Zero workout pressure! ❤️</t>
        </is>
      </c>
      <c r="J132" s="11" t="inlineStr">
        <is>
          <t>Zero workout assigned. Rest is 100% productive and honored. Keep hydration &amp; comfortable meals.</t>
        </is>
      </c>
      <c r="K132" s="11" t="inlineStr">
        <is>
          <t>Hand on heart, deep peaceful breathing, soothing chamomile or warm water.</t>
        </is>
      </c>
      <c r="L132" s="11" t="inlineStr">
        <is>
          <t>Optional gentle stroll around room if desired, never mandatory.</t>
        </is>
      </c>
      <c r="M132" s="11" t="inlineStr">
        <is>
          <t>N/A (Scheduled Rest Day)</t>
        </is>
      </c>
    </row>
    <row r="133" ht="32" customHeight="1">
      <c r="A133" s="10" t="inlineStr">
        <is>
          <t>2027-03-04</t>
        </is>
      </c>
      <c r="B133" s="10" t="n">
        <v>132</v>
      </c>
      <c r="C133" s="10" t="inlineStr">
        <is>
          <t>Thursday</t>
        </is>
      </c>
      <c r="D133" s="14" t="inlineStr">
        <is>
          <t>ZUMBA SESSION</t>
        </is>
      </c>
      <c r="E133" s="11" t="inlineStr">
        <is>
          <t>20-Min Full Body Zumba Fiesta &amp; Core Tone</t>
        </is>
      </c>
      <c r="F133" s="12" t="n">
        <v>20</v>
      </c>
      <c r="G133" s="12" t="n">
        <v>155</v>
      </c>
      <c r="H133" s="11" t="inlineStr">
        <is>
          <t>Zumba Fiesta &amp; Tone</t>
        </is>
      </c>
      <c r="I133" s="11" t="inlineStr">
        <is>
          <t>3 minutes dynamic dance warm-up. Full body dance rhythm that naturally engages your core, tones waist, and boosts endurance effortlessly.</t>
        </is>
      </c>
      <c r="J133" s="11" t="inlineStr">
        <is>
          <t>Cumbia Two-Step &amp; Pump (5 mins) • Bollywood Desi Thumka (5 mins) • Salsa Double Step (5 mins) • Samba Shimmy &amp; Reach (5 mins)</t>
        </is>
      </c>
      <c r="K133" s="11" t="inlineStr">
        <is>
          <t>3 minutes slow waltz flow and full body stretch.</t>
        </is>
      </c>
      <c r="L133" s="11" t="inlineStr">
        <is>
          <t>Omit quick pivots; maintain simple two-step touch.</t>
        </is>
      </c>
      <c r="M133" s="11" t="inlineStr">
        <is>
          <t>https://www.youtube.com/results?search_query=20+minute+zumba+dance+party+at+home+sweat+and+smile</t>
        </is>
      </c>
    </row>
    <row r="134" ht="32" customHeight="1">
      <c r="A134" s="10" t="inlineStr">
        <is>
          <t>2027-03-05</t>
        </is>
      </c>
      <c r="B134" s="10" t="n">
        <v>133</v>
      </c>
      <c r="C134" s="10" t="inlineStr">
        <is>
          <t>Friday</t>
        </is>
      </c>
      <c r="D134" s="14" t="inlineStr">
        <is>
          <t>ZUMBA SESSION</t>
        </is>
      </c>
      <c r="E134" s="11" t="inlineStr">
        <is>
          <t>22-Min High-Spirited Bollywood Beats Zumba Cardio</t>
        </is>
      </c>
      <c r="F134" s="12" t="n">
        <v>22</v>
      </c>
      <c r="G134" s="12" t="n">
        <v>175</v>
      </c>
      <c r="H134" s="11" t="inlineStr">
        <is>
          <t>Bollywood Anthem Dance</t>
        </is>
      </c>
      <c r="I134" s="11" t="inlineStr">
        <is>
          <t>3 minutes light bounce and shoulder rolls. Infectious beats and expressive hand gestures. Burns calories while feeling like a pure celebration!</t>
        </is>
      </c>
      <c r="J134" s="11" t="inlineStr">
        <is>
          <t>Dholak Beat March (6 mins) • Punjabi Folk Step (6 mins) • Bollywood Freestyle (5 mins) • Rhythmic Claps &amp; Sway (5 mins)</t>
        </is>
      </c>
      <c r="K134" s="11" t="inlineStr">
        <is>
          <t>3 minutes calming waltz breathing.</t>
        </is>
      </c>
      <c r="L134" s="11" t="inlineStr">
        <is>
          <t>Pace yourself gently; all moves are customizable.</t>
        </is>
      </c>
      <c r="M134" s="11" t="inlineStr">
        <is>
          <t>https://www.youtube.com/results?search_query=20+minute+upbeat+bollywood+dance+workout+home</t>
        </is>
      </c>
    </row>
    <row r="135" ht="32" customHeight="1">
      <c r="A135" s="10" t="inlineStr">
        <is>
          <t>2027-03-06</t>
        </is>
      </c>
      <c r="B135" s="10" t="n">
        <v>134</v>
      </c>
      <c r="C135" s="10" t="inlineStr">
        <is>
          <t>Saturday</t>
        </is>
      </c>
      <c r="D135" s="13" t="inlineStr">
        <is>
          <t>REST DAY</t>
        </is>
      </c>
      <c r="E135" s="11" t="inlineStr">
        <is>
          <t>REST DAY — Rest, Recover &amp; Nourish ❤️</t>
        </is>
      </c>
      <c r="F135" s="12" t="n">
        <v>0</v>
      </c>
      <c r="G135" s="12" t="n">
        <v>0</v>
      </c>
      <c r="H135" s="11" t="inlineStr">
        <is>
          <t>Restorative Rest</t>
        </is>
      </c>
      <c r="I135" s="11" t="inlineStr">
        <is>
          <t>Scheduled REST DAY (Saturday) — Muscle recovery, sleep &amp; nervous system rest. Zero workout pressure! ❤️</t>
        </is>
      </c>
      <c r="J135" s="11" t="inlineStr">
        <is>
          <t>Zero workout assigned. Rest is 100% productive and honored. Keep hydration &amp; comfortable meals.</t>
        </is>
      </c>
      <c r="K135" s="11" t="inlineStr">
        <is>
          <t>Hand on heart, deep peaceful breathing, soothing chamomile or warm water.</t>
        </is>
      </c>
      <c r="L135" s="11" t="inlineStr">
        <is>
          <t>Optional gentle stroll around room if desired, never mandatory.</t>
        </is>
      </c>
      <c r="M135" s="11" t="inlineStr">
        <is>
          <t>N/A (Scheduled Rest Day)</t>
        </is>
      </c>
    </row>
    <row r="136" ht="32" customHeight="1">
      <c r="A136" s="10" t="inlineStr">
        <is>
          <t>2027-03-07</t>
        </is>
      </c>
      <c r="B136" s="10" t="n">
        <v>135</v>
      </c>
      <c r="C136" s="10" t="inlineStr">
        <is>
          <t>Sunday</t>
        </is>
      </c>
      <c r="D136" s="13" t="inlineStr">
        <is>
          <t>REST DAY</t>
        </is>
      </c>
      <c r="E136" s="11" t="inlineStr">
        <is>
          <t>REST DAY — Rest, Recover &amp; Nourish ❤️</t>
        </is>
      </c>
      <c r="F136" s="12" t="n">
        <v>0</v>
      </c>
      <c r="G136" s="12" t="n">
        <v>0</v>
      </c>
      <c r="H136" s="11" t="inlineStr">
        <is>
          <t>Restorative Rest</t>
        </is>
      </c>
      <c r="I136" s="11" t="inlineStr">
        <is>
          <t>Scheduled REST DAY (Sunday) — Muscle recovery, sleep &amp; nervous system rest. Zero workout pressure! ❤️</t>
        </is>
      </c>
      <c r="J136" s="11" t="inlineStr">
        <is>
          <t>Zero workout assigned. Rest is 100% productive and honored. Keep hydration &amp; comfortable meals.</t>
        </is>
      </c>
      <c r="K136" s="11" t="inlineStr">
        <is>
          <t>Hand on heart, deep peaceful breathing, soothing chamomile or warm water.</t>
        </is>
      </c>
      <c r="L136" s="11" t="inlineStr">
        <is>
          <t>Optional gentle stroll around room if desired, never mandatory.</t>
        </is>
      </c>
      <c r="M136" s="11" t="inlineStr">
        <is>
          <t>N/A (Scheduled Rest Day)</t>
        </is>
      </c>
    </row>
    <row r="137" ht="32" customHeight="1">
      <c r="A137" s="10" t="inlineStr">
        <is>
          <t>2027-03-08</t>
        </is>
      </c>
      <c r="B137" s="10" t="n">
        <v>136</v>
      </c>
      <c r="C137" s="10" t="inlineStr">
        <is>
          <t>Monday</t>
        </is>
      </c>
      <c r="D137" s="14" t="inlineStr">
        <is>
          <t>ZUMBA SESSION</t>
        </is>
      </c>
      <c r="E137" s="11" t="inlineStr">
        <is>
          <t>20-Min Full Body Zumba Fiesta &amp; Core Tone</t>
        </is>
      </c>
      <c r="F137" s="12" t="n">
        <v>20</v>
      </c>
      <c r="G137" s="12" t="n">
        <v>155</v>
      </c>
      <c r="H137" s="11" t="inlineStr">
        <is>
          <t>Zumba Fiesta &amp; Tone</t>
        </is>
      </c>
      <c r="I137" s="11" t="inlineStr">
        <is>
          <t>3 minutes dynamic dance warm-up. Full body dance rhythm that naturally engages your core, tones waist, and boosts endurance effortlessly.</t>
        </is>
      </c>
      <c r="J137" s="11" t="inlineStr">
        <is>
          <t>Cumbia Two-Step &amp; Pump (5 mins) • Bollywood Desi Thumka (5 mins) • Salsa Double Step (5 mins) • Samba Shimmy &amp; Reach (5 mins)</t>
        </is>
      </c>
      <c r="K137" s="11" t="inlineStr">
        <is>
          <t>3 minutes slow waltz flow and full body stretch.</t>
        </is>
      </c>
      <c r="L137" s="11" t="inlineStr">
        <is>
          <t>Omit quick pivots; maintain simple two-step touch.</t>
        </is>
      </c>
      <c r="M137" s="11" t="inlineStr">
        <is>
          <t>https://www.youtube.com/results?search_query=20+minute+zumba+dance+party+at+home+sweat+and+smile</t>
        </is>
      </c>
    </row>
    <row r="138" ht="32" customHeight="1">
      <c r="A138" s="10" t="inlineStr">
        <is>
          <t>2027-03-09</t>
        </is>
      </c>
      <c r="B138" s="10" t="n">
        <v>137</v>
      </c>
      <c r="C138" s="10" t="inlineStr">
        <is>
          <t>Tuesday</t>
        </is>
      </c>
      <c r="D138" s="14" t="inlineStr">
        <is>
          <t>ZUMBA SESSION</t>
        </is>
      </c>
      <c r="E138" s="11" t="inlineStr">
        <is>
          <t>22-Min High-Spirited Bollywood Beats Zumba Cardio</t>
        </is>
      </c>
      <c r="F138" s="12" t="n">
        <v>22</v>
      </c>
      <c r="G138" s="12" t="n">
        <v>175</v>
      </c>
      <c r="H138" s="11" t="inlineStr">
        <is>
          <t>Bollywood Anthem Dance</t>
        </is>
      </c>
      <c r="I138" s="11" t="inlineStr">
        <is>
          <t>3 minutes light bounce and shoulder rolls. Infectious beats and expressive hand gestures. Burns calories while feeling like a pure celebration!</t>
        </is>
      </c>
      <c r="J138" s="11" t="inlineStr">
        <is>
          <t>Dholak Beat March (6 mins) • Punjabi Folk Step (6 mins) • Bollywood Freestyle (5 mins) • Rhythmic Claps &amp; Sway (5 mins)</t>
        </is>
      </c>
      <c r="K138" s="11" t="inlineStr">
        <is>
          <t>3 minutes calming waltz breathing.</t>
        </is>
      </c>
      <c r="L138" s="11" t="inlineStr">
        <is>
          <t>Pace yourself gently; all moves are customizable.</t>
        </is>
      </c>
      <c r="M138" s="11" t="inlineStr">
        <is>
          <t>https://www.youtube.com/results?search_query=20+minute+upbeat+bollywood+dance+workout+home</t>
        </is>
      </c>
    </row>
    <row r="139" ht="32" customHeight="1">
      <c r="A139" s="10" t="inlineStr">
        <is>
          <t>2027-03-10</t>
        </is>
      </c>
      <c r="B139" s="10" t="n">
        <v>138</v>
      </c>
      <c r="C139" s="10" t="inlineStr">
        <is>
          <t>Wednesday</t>
        </is>
      </c>
      <c r="D139" s="13" t="inlineStr">
        <is>
          <t>REST DAY</t>
        </is>
      </c>
      <c r="E139" s="11" t="inlineStr">
        <is>
          <t>REST DAY — Rest, Recover &amp; Nourish ❤️</t>
        </is>
      </c>
      <c r="F139" s="12" t="n">
        <v>0</v>
      </c>
      <c r="G139" s="12" t="n">
        <v>0</v>
      </c>
      <c r="H139" s="11" t="inlineStr">
        <is>
          <t>Restorative Rest</t>
        </is>
      </c>
      <c r="I139" s="11" t="inlineStr">
        <is>
          <t>Scheduled REST DAY (Wednesday) — Muscle recovery, sleep &amp; nervous system rest. Zero workout pressure! ❤️</t>
        </is>
      </c>
      <c r="J139" s="11" t="inlineStr">
        <is>
          <t>Zero workout assigned. Rest is 100% productive and honored. Keep hydration &amp; comfortable meals.</t>
        </is>
      </c>
      <c r="K139" s="11" t="inlineStr">
        <is>
          <t>Hand on heart, deep peaceful breathing, soothing chamomile or warm water.</t>
        </is>
      </c>
      <c r="L139" s="11" t="inlineStr">
        <is>
          <t>Optional gentle stroll around room if desired, never mandatory.</t>
        </is>
      </c>
      <c r="M139" s="11" t="inlineStr">
        <is>
          <t>N/A (Scheduled Rest Day)</t>
        </is>
      </c>
    </row>
    <row r="140" ht="32" customHeight="1">
      <c r="A140" s="10" t="inlineStr">
        <is>
          <t>2027-03-11</t>
        </is>
      </c>
      <c r="B140" s="10" t="n">
        <v>139</v>
      </c>
      <c r="C140" s="10" t="inlineStr">
        <is>
          <t>Thursday</t>
        </is>
      </c>
      <c r="D140" s="14" t="inlineStr">
        <is>
          <t>ZUMBA SESSION</t>
        </is>
      </c>
      <c r="E140" s="11" t="inlineStr">
        <is>
          <t>20-Min Full Body Zumba Fiesta &amp; Core Tone</t>
        </is>
      </c>
      <c r="F140" s="12" t="n">
        <v>20</v>
      </c>
      <c r="G140" s="12" t="n">
        <v>155</v>
      </c>
      <c r="H140" s="11" t="inlineStr">
        <is>
          <t>Zumba Fiesta &amp; Tone</t>
        </is>
      </c>
      <c r="I140" s="11" t="inlineStr">
        <is>
          <t>3 minutes dynamic dance warm-up. Full body dance rhythm that naturally engages your core, tones waist, and boosts endurance effortlessly.</t>
        </is>
      </c>
      <c r="J140" s="11" t="inlineStr">
        <is>
          <t>Cumbia Two-Step &amp; Pump (5 mins) • Bollywood Desi Thumka (5 mins) • Salsa Double Step (5 mins) • Samba Shimmy &amp; Reach (5 mins)</t>
        </is>
      </c>
      <c r="K140" s="11" t="inlineStr">
        <is>
          <t>3 minutes slow waltz flow and full body stretch.</t>
        </is>
      </c>
      <c r="L140" s="11" t="inlineStr">
        <is>
          <t>Omit quick pivots; maintain simple two-step touch.</t>
        </is>
      </c>
      <c r="M140" s="11" t="inlineStr">
        <is>
          <t>https://www.youtube.com/results?search_query=20+minute+zumba+dance+party+at+home+sweat+and+smile</t>
        </is>
      </c>
    </row>
    <row r="141" ht="32" customHeight="1">
      <c r="A141" s="10" t="inlineStr">
        <is>
          <t>2027-03-12</t>
        </is>
      </c>
      <c r="B141" s="10" t="n">
        <v>140</v>
      </c>
      <c r="C141" s="10" t="inlineStr">
        <is>
          <t>Friday</t>
        </is>
      </c>
      <c r="D141" s="14" t="inlineStr">
        <is>
          <t>ZUMBA SESSION</t>
        </is>
      </c>
      <c r="E141" s="11" t="inlineStr">
        <is>
          <t>22-Min High-Spirited Bollywood Beats Zumba Cardio</t>
        </is>
      </c>
      <c r="F141" s="12" t="n">
        <v>22</v>
      </c>
      <c r="G141" s="12" t="n">
        <v>175</v>
      </c>
      <c r="H141" s="11" t="inlineStr">
        <is>
          <t>Bollywood Anthem Dance</t>
        </is>
      </c>
      <c r="I141" s="11" t="inlineStr">
        <is>
          <t>3 minutes light bounce and shoulder rolls. Infectious beats and expressive hand gestures. Burns calories while feeling like a pure celebration!</t>
        </is>
      </c>
      <c r="J141" s="11" t="inlineStr">
        <is>
          <t>Dholak Beat March (6 mins) • Punjabi Folk Step (6 mins) • Bollywood Freestyle (5 mins) • Rhythmic Claps &amp; Sway (5 mins)</t>
        </is>
      </c>
      <c r="K141" s="11" t="inlineStr">
        <is>
          <t>3 minutes calming waltz breathing.</t>
        </is>
      </c>
      <c r="L141" s="11" t="inlineStr">
        <is>
          <t>Pace yourself gently; all moves are customizable.</t>
        </is>
      </c>
      <c r="M141" s="11" t="inlineStr">
        <is>
          <t>https://www.youtube.com/results?search_query=20+minute+upbeat+bollywood+dance+workout+home</t>
        </is>
      </c>
    </row>
    <row r="142" ht="32" customHeight="1">
      <c r="A142" s="10" t="inlineStr">
        <is>
          <t>2027-03-13</t>
        </is>
      </c>
      <c r="B142" s="10" t="n">
        <v>141</v>
      </c>
      <c r="C142" s="10" t="inlineStr">
        <is>
          <t>Saturday</t>
        </is>
      </c>
      <c r="D142" s="13" t="inlineStr">
        <is>
          <t>REST DAY</t>
        </is>
      </c>
      <c r="E142" s="11" t="inlineStr">
        <is>
          <t>REST DAY — Rest, Recover &amp; Nourish ❤️</t>
        </is>
      </c>
      <c r="F142" s="12" t="n">
        <v>0</v>
      </c>
      <c r="G142" s="12" t="n">
        <v>0</v>
      </c>
      <c r="H142" s="11" t="inlineStr">
        <is>
          <t>Restorative Rest</t>
        </is>
      </c>
      <c r="I142" s="11" t="inlineStr">
        <is>
          <t>Scheduled REST DAY (Saturday) — Muscle recovery, sleep &amp; nervous system rest. Zero workout pressure! ❤️</t>
        </is>
      </c>
      <c r="J142" s="11" t="inlineStr">
        <is>
          <t>Zero workout assigned. Rest is 100% productive and honored. Keep hydration &amp; comfortable meals.</t>
        </is>
      </c>
      <c r="K142" s="11" t="inlineStr">
        <is>
          <t>Hand on heart, deep peaceful breathing, soothing chamomile or warm water.</t>
        </is>
      </c>
      <c r="L142" s="11" t="inlineStr">
        <is>
          <t>Optional gentle stroll around room if desired, never mandatory.</t>
        </is>
      </c>
      <c r="M142" s="11" t="inlineStr">
        <is>
          <t>N/A (Scheduled Rest Day)</t>
        </is>
      </c>
    </row>
    <row r="143" ht="32" customHeight="1">
      <c r="A143" s="10" t="inlineStr">
        <is>
          <t>2027-03-14</t>
        </is>
      </c>
      <c r="B143" s="10" t="n">
        <v>142</v>
      </c>
      <c r="C143" s="10" t="inlineStr">
        <is>
          <t>Sunday</t>
        </is>
      </c>
      <c r="D143" s="13" t="inlineStr">
        <is>
          <t>REST DAY</t>
        </is>
      </c>
      <c r="E143" s="11" t="inlineStr">
        <is>
          <t>REST DAY — Rest, Recover &amp; Nourish ❤️</t>
        </is>
      </c>
      <c r="F143" s="12" t="n">
        <v>0</v>
      </c>
      <c r="G143" s="12" t="n">
        <v>0</v>
      </c>
      <c r="H143" s="11" t="inlineStr">
        <is>
          <t>Restorative Rest</t>
        </is>
      </c>
      <c r="I143" s="11" t="inlineStr">
        <is>
          <t>Scheduled REST DAY (Sunday) — Muscle recovery, sleep &amp; nervous system rest. Zero workout pressure! ❤️</t>
        </is>
      </c>
      <c r="J143" s="11" t="inlineStr">
        <is>
          <t>Zero workout assigned. Rest is 100% productive and honored. Keep hydration &amp; comfortable meals.</t>
        </is>
      </c>
      <c r="K143" s="11" t="inlineStr">
        <is>
          <t>Hand on heart, deep peaceful breathing, soothing chamomile or warm water.</t>
        </is>
      </c>
      <c r="L143" s="11" t="inlineStr">
        <is>
          <t>Optional gentle stroll around room if desired, never mandatory.</t>
        </is>
      </c>
      <c r="M143" s="11" t="inlineStr">
        <is>
          <t>N/A (Scheduled Rest Day)</t>
        </is>
      </c>
    </row>
    <row r="144" ht="32" customHeight="1">
      <c r="A144" s="10" t="inlineStr">
        <is>
          <t>2027-03-15</t>
        </is>
      </c>
      <c r="B144" s="10" t="n">
        <v>143</v>
      </c>
      <c r="C144" s="10" t="inlineStr">
        <is>
          <t>Monday</t>
        </is>
      </c>
      <c r="D144" s="14" t="inlineStr">
        <is>
          <t>ZUMBA SESSION</t>
        </is>
      </c>
      <c r="E144" s="11" t="inlineStr">
        <is>
          <t>20-Min Full Body Zumba Fiesta &amp; Core Tone</t>
        </is>
      </c>
      <c r="F144" s="12" t="n">
        <v>20</v>
      </c>
      <c r="G144" s="12" t="n">
        <v>155</v>
      </c>
      <c r="H144" s="11" t="inlineStr">
        <is>
          <t>Zumba Fiesta &amp; Tone</t>
        </is>
      </c>
      <c r="I144" s="11" t="inlineStr">
        <is>
          <t>3 minutes dynamic dance warm-up. Full body dance rhythm that naturally engages your core, tones waist, and boosts endurance effortlessly.</t>
        </is>
      </c>
      <c r="J144" s="11" t="inlineStr">
        <is>
          <t>Cumbia Two-Step &amp; Pump (5 mins) • Bollywood Desi Thumka (5 mins) • Salsa Double Step (5 mins) • Samba Shimmy &amp; Reach (5 mins)</t>
        </is>
      </c>
      <c r="K144" s="11" t="inlineStr">
        <is>
          <t>3 minutes slow waltz flow and full body stretch.</t>
        </is>
      </c>
      <c r="L144" s="11" t="inlineStr">
        <is>
          <t>Omit quick pivots; maintain simple two-step touch.</t>
        </is>
      </c>
      <c r="M144" s="11" t="inlineStr">
        <is>
          <t>https://www.youtube.com/results?search_query=20+minute+zumba+dance+party+at+home+sweat+and+smile</t>
        </is>
      </c>
    </row>
    <row r="145" ht="32" customHeight="1">
      <c r="A145" s="10" t="inlineStr">
        <is>
          <t>2027-03-16</t>
        </is>
      </c>
      <c r="B145" s="10" t="n">
        <v>144</v>
      </c>
      <c r="C145" s="10" t="inlineStr">
        <is>
          <t>Tuesday</t>
        </is>
      </c>
      <c r="D145" s="14" t="inlineStr">
        <is>
          <t>ZUMBA SESSION</t>
        </is>
      </c>
      <c r="E145" s="11" t="inlineStr">
        <is>
          <t>22-Min High-Spirited Bollywood Beats Zumba Cardio</t>
        </is>
      </c>
      <c r="F145" s="12" t="n">
        <v>22</v>
      </c>
      <c r="G145" s="12" t="n">
        <v>175</v>
      </c>
      <c r="H145" s="11" t="inlineStr">
        <is>
          <t>Bollywood Anthem Dance</t>
        </is>
      </c>
      <c r="I145" s="11" t="inlineStr">
        <is>
          <t>3 minutes light bounce and shoulder rolls. Infectious beats and expressive hand gestures. Burns calories while feeling like a pure celebration!</t>
        </is>
      </c>
      <c r="J145" s="11" t="inlineStr">
        <is>
          <t>Dholak Beat March (6 mins) • Punjabi Folk Step (6 mins) • Bollywood Freestyle (5 mins) • Rhythmic Claps &amp; Sway (5 mins)</t>
        </is>
      </c>
      <c r="K145" s="11" t="inlineStr">
        <is>
          <t>3 minutes calming waltz breathing.</t>
        </is>
      </c>
      <c r="L145" s="11" t="inlineStr">
        <is>
          <t>Pace yourself gently; all moves are customizable.</t>
        </is>
      </c>
      <c r="M145" s="11" t="inlineStr">
        <is>
          <t>https://www.youtube.com/results?search_query=20+minute+upbeat+bollywood+dance+workout+home</t>
        </is>
      </c>
    </row>
    <row r="146" ht="32" customHeight="1">
      <c r="A146" s="10" t="inlineStr">
        <is>
          <t>2027-03-17</t>
        </is>
      </c>
      <c r="B146" s="10" t="n">
        <v>145</v>
      </c>
      <c r="C146" s="10" t="inlineStr">
        <is>
          <t>Wednesday</t>
        </is>
      </c>
      <c r="D146" s="13" t="inlineStr">
        <is>
          <t>REST DAY</t>
        </is>
      </c>
      <c r="E146" s="11" t="inlineStr">
        <is>
          <t>REST DAY — Rest, Recover &amp; Nourish ❤️</t>
        </is>
      </c>
      <c r="F146" s="12" t="n">
        <v>0</v>
      </c>
      <c r="G146" s="12" t="n">
        <v>0</v>
      </c>
      <c r="H146" s="11" t="inlineStr">
        <is>
          <t>Restorative Rest</t>
        </is>
      </c>
      <c r="I146" s="11" t="inlineStr">
        <is>
          <t>Scheduled REST DAY (Wednesday) — Muscle recovery, sleep &amp; nervous system rest. Zero workout pressure! ❤️</t>
        </is>
      </c>
      <c r="J146" s="11" t="inlineStr">
        <is>
          <t>Zero workout assigned. Rest is 100% productive and honored. Keep hydration &amp; comfortable meals.</t>
        </is>
      </c>
      <c r="K146" s="11" t="inlineStr">
        <is>
          <t>Hand on heart, deep peaceful breathing, soothing chamomile or warm water.</t>
        </is>
      </c>
      <c r="L146" s="11" t="inlineStr">
        <is>
          <t>Optional gentle stroll around room if desired, never mandatory.</t>
        </is>
      </c>
      <c r="M146" s="11" t="inlineStr">
        <is>
          <t>N/A (Scheduled Rest Day)</t>
        </is>
      </c>
    </row>
    <row r="147" ht="32" customHeight="1">
      <c r="A147" s="10" t="inlineStr">
        <is>
          <t>2027-03-18</t>
        </is>
      </c>
      <c r="B147" s="10" t="n">
        <v>146</v>
      </c>
      <c r="C147" s="10" t="inlineStr">
        <is>
          <t>Thursday</t>
        </is>
      </c>
      <c r="D147" s="14" t="inlineStr">
        <is>
          <t>ZUMBA SESSION</t>
        </is>
      </c>
      <c r="E147" s="11" t="inlineStr">
        <is>
          <t>20-Min Full Body Zumba Fiesta &amp; Core Tone</t>
        </is>
      </c>
      <c r="F147" s="12" t="n">
        <v>20</v>
      </c>
      <c r="G147" s="12" t="n">
        <v>155</v>
      </c>
      <c r="H147" s="11" t="inlineStr">
        <is>
          <t>Zumba Fiesta &amp; Tone</t>
        </is>
      </c>
      <c r="I147" s="11" t="inlineStr">
        <is>
          <t>3 minutes dynamic dance warm-up. Full body dance rhythm that naturally engages your core, tones waist, and boosts endurance effortlessly.</t>
        </is>
      </c>
      <c r="J147" s="11" t="inlineStr">
        <is>
          <t>Cumbia Two-Step &amp; Pump (5 mins) • Bollywood Desi Thumka (5 mins) • Salsa Double Step (5 mins) • Samba Shimmy &amp; Reach (5 mins)</t>
        </is>
      </c>
      <c r="K147" s="11" t="inlineStr">
        <is>
          <t>3 minutes slow waltz flow and full body stretch.</t>
        </is>
      </c>
      <c r="L147" s="11" t="inlineStr">
        <is>
          <t>Omit quick pivots; maintain simple two-step touch.</t>
        </is>
      </c>
      <c r="M147" s="11" t="inlineStr">
        <is>
          <t>https://www.youtube.com/results?search_query=20+minute+zumba+dance+party+at+home+sweat+and+smile</t>
        </is>
      </c>
    </row>
    <row r="148" ht="32" customHeight="1">
      <c r="A148" s="10" t="inlineStr">
        <is>
          <t>2027-03-19</t>
        </is>
      </c>
      <c r="B148" s="10" t="n">
        <v>147</v>
      </c>
      <c r="C148" s="10" t="inlineStr">
        <is>
          <t>Friday</t>
        </is>
      </c>
      <c r="D148" s="14" t="inlineStr">
        <is>
          <t>ZUMBA SESSION</t>
        </is>
      </c>
      <c r="E148" s="11" t="inlineStr">
        <is>
          <t>22-Min High-Spirited Bollywood Beats Zumba Cardio</t>
        </is>
      </c>
      <c r="F148" s="12" t="n">
        <v>22</v>
      </c>
      <c r="G148" s="12" t="n">
        <v>175</v>
      </c>
      <c r="H148" s="11" t="inlineStr">
        <is>
          <t>Bollywood Anthem Dance</t>
        </is>
      </c>
      <c r="I148" s="11" t="inlineStr">
        <is>
          <t>3 minutes light bounce and shoulder rolls. Infectious beats and expressive hand gestures. Burns calories while feeling like a pure celebration!</t>
        </is>
      </c>
      <c r="J148" s="11" t="inlineStr">
        <is>
          <t>Dholak Beat March (6 mins) • Punjabi Folk Step (6 mins) • Bollywood Freestyle (5 mins) • Rhythmic Claps &amp; Sway (5 mins)</t>
        </is>
      </c>
      <c r="K148" s="11" t="inlineStr">
        <is>
          <t>3 minutes calming waltz breathing.</t>
        </is>
      </c>
      <c r="L148" s="11" t="inlineStr">
        <is>
          <t>Pace yourself gently; all moves are customizable.</t>
        </is>
      </c>
      <c r="M148" s="11" t="inlineStr">
        <is>
          <t>https://www.youtube.com/results?search_query=20+minute+upbeat+bollywood+dance+workout+home</t>
        </is>
      </c>
    </row>
    <row r="149" ht="32" customHeight="1">
      <c r="A149" s="10" t="inlineStr">
        <is>
          <t>2027-03-20</t>
        </is>
      </c>
      <c r="B149" s="10" t="n">
        <v>148</v>
      </c>
      <c r="C149" s="10" t="inlineStr">
        <is>
          <t>Saturday</t>
        </is>
      </c>
      <c r="D149" s="13" t="inlineStr">
        <is>
          <t>REST DAY</t>
        </is>
      </c>
      <c r="E149" s="11" t="inlineStr">
        <is>
          <t>REST DAY — Rest, Recover &amp; Nourish ❤️</t>
        </is>
      </c>
      <c r="F149" s="12" t="n">
        <v>0</v>
      </c>
      <c r="G149" s="12" t="n">
        <v>0</v>
      </c>
      <c r="H149" s="11" t="inlineStr">
        <is>
          <t>Restorative Rest</t>
        </is>
      </c>
      <c r="I149" s="11" t="inlineStr">
        <is>
          <t>Scheduled REST DAY (Saturday) — Muscle recovery, sleep &amp; nervous system rest. Zero workout pressure! ❤️</t>
        </is>
      </c>
      <c r="J149" s="11" t="inlineStr">
        <is>
          <t>Zero workout assigned. Rest is 100% productive and honored. Keep hydration &amp; comfortable meals.</t>
        </is>
      </c>
      <c r="K149" s="11" t="inlineStr">
        <is>
          <t>Hand on heart, deep peaceful breathing, soothing chamomile or warm water.</t>
        </is>
      </c>
      <c r="L149" s="11" t="inlineStr">
        <is>
          <t>Optional gentle stroll around room if desired, never mandatory.</t>
        </is>
      </c>
      <c r="M149" s="11" t="inlineStr">
        <is>
          <t>N/A (Scheduled Rest Day)</t>
        </is>
      </c>
    </row>
    <row r="150" ht="32" customHeight="1">
      <c r="A150" s="10" t="inlineStr">
        <is>
          <t>2027-03-21</t>
        </is>
      </c>
      <c r="B150" s="10" t="n">
        <v>149</v>
      </c>
      <c r="C150" s="10" t="inlineStr">
        <is>
          <t>Sunday</t>
        </is>
      </c>
      <c r="D150" s="13" t="inlineStr">
        <is>
          <t>REST DAY</t>
        </is>
      </c>
      <c r="E150" s="11" t="inlineStr">
        <is>
          <t>REST DAY — Rest, Recover &amp; Nourish ❤️</t>
        </is>
      </c>
      <c r="F150" s="12" t="n">
        <v>0</v>
      </c>
      <c r="G150" s="12" t="n">
        <v>0</v>
      </c>
      <c r="H150" s="11" t="inlineStr">
        <is>
          <t>Restorative Rest</t>
        </is>
      </c>
      <c r="I150" s="11" t="inlineStr">
        <is>
          <t>Scheduled REST DAY (Sunday) — Muscle recovery, sleep &amp; nervous system rest. Zero workout pressure! ❤️</t>
        </is>
      </c>
      <c r="J150" s="11" t="inlineStr">
        <is>
          <t>Zero workout assigned. Rest is 100% productive and honored. Keep hydration &amp; comfortable meals.</t>
        </is>
      </c>
      <c r="K150" s="11" t="inlineStr">
        <is>
          <t>Hand on heart, deep peaceful breathing, soothing chamomile or warm water.</t>
        </is>
      </c>
      <c r="L150" s="11" t="inlineStr">
        <is>
          <t>Optional gentle stroll around room if desired, never mandatory.</t>
        </is>
      </c>
      <c r="M150" s="11" t="inlineStr">
        <is>
          <t>N/A (Scheduled Rest Day)</t>
        </is>
      </c>
    </row>
    <row r="151" ht="32" customHeight="1">
      <c r="A151" s="10" t="inlineStr">
        <is>
          <t>2027-03-22</t>
        </is>
      </c>
      <c r="B151" s="10" t="n">
        <v>150</v>
      </c>
      <c r="C151" s="10" t="inlineStr">
        <is>
          <t>Monday</t>
        </is>
      </c>
      <c r="D151" s="14" t="inlineStr">
        <is>
          <t>ZUMBA SESSION</t>
        </is>
      </c>
      <c r="E151" s="11" t="inlineStr">
        <is>
          <t>20-Min Full Body Zumba Fiesta &amp; Core Tone</t>
        </is>
      </c>
      <c r="F151" s="12" t="n">
        <v>20</v>
      </c>
      <c r="G151" s="12" t="n">
        <v>155</v>
      </c>
      <c r="H151" s="11" t="inlineStr">
        <is>
          <t>Zumba Fiesta &amp; Tone</t>
        </is>
      </c>
      <c r="I151" s="11" t="inlineStr">
        <is>
          <t>3 minutes dynamic dance warm-up. Full body dance rhythm that naturally engages your core, tones waist, and boosts endurance effortlessly.</t>
        </is>
      </c>
      <c r="J151" s="11" t="inlineStr">
        <is>
          <t>Cumbia Two-Step &amp; Pump (5 mins) • Bollywood Desi Thumka (5 mins) • Salsa Double Step (5 mins) • Samba Shimmy &amp; Reach (5 mins)</t>
        </is>
      </c>
      <c r="K151" s="11" t="inlineStr">
        <is>
          <t>3 minutes slow waltz flow and full body stretch.</t>
        </is>
      </c>
      <c r="L151" s="11" t="inlineStr">
        <is>
          <t>Omit quick pivots; maintain simple two-step touch.</t>
        </is>
      </c>
      <c r="M151" s="11" t="inlineStr">
        <is>
          <t>https://www.youtube.com/results?search_query=20+minute+zumba+dance+party+at+home+sweat+and+smile</t>
        </is>
      </c>
    </row>
    <row r="152" ht="32" customHeight="1">
      <c r="A152" s="10" t="inlineStr">
        <is>
          <t>2027-03-23</t>
        </is>
      </c>
      <c r="B152" s="10" t="n">
        <v>151</v>
      </c>
      <c r="C152" s="10" t="inlineStr">
        <is>
          <t>Tuesday</t>
        </is>
      </c>
      <c r="D152" s="14" t="inlineStr">
        <is>
          <t>ZUMBA SESSION</t>
        </is>
      </c>
      <c r="E152" s="11" t="inlineStr">
        <is>
          <t>20-Min Full Body Zumba Fiesta &amp; Core Tone</t>
        </is>
      </c>
      <c r="F152" s="12" t="n">
        <v>20</v>
      </c>
      <c r="G152" s="12" t="n">
        <v>155</v>
      </c>
      <c r="H152" s="11" t="inlineStr">
        <is>
          <t>Zumba Fiesta &amp; Tone</t>
        </is>
      </c>
      <c r="I152" s="11" t="inlineStr">
        <is>
          <t>3 minutes dynamic dance warm-up. Full body dance rhythm that naturally engages your core, tones waist, and boosts endurance effortlessly.</t>
        </is>
      </c>
      <c r="J152" s="11" t="inlineStr">
        <is>
          <t>Cumbia Two-Step &amp; Pump (5 mins) • Bollywood Desi Thumka (5 mins) • Salsa Double Step (5 mins) • Samba Shimmy &amp; Reach (5 mins)</t>
        </is>
      </c>
      <c r="K152" s="11" t="inlineStr">
        <is>
          <t>3 minutes slow waltz flow and full body stretch.</t>
        </is>
      </c>
      <c r="L152" s="11" t="inlineStr">
        <is>
          <t>Omit quick pivots; maintain simple two-step touch.</t>
        </is>
      </c>
      <c r="M152" s="11" t="inlineStr">
        <is>
          <t>https://www.youtube.com/results?search_query=20+minute+zumba+dance+party+at+home+sweat+and+smile</t>
        </is>
      </c>
    </row>
    <row r="153" ht="32" customHeight="1">
      <c r="A153" s="10" t="inlineStr">
        <is>
          <t>2027-03-24</t>
        </is>
      </c>
      <c r="B153" s="10" t="n">
        <v>152</v>
      </c>
      <c r="C153" s="10" t="inlineStr">
        <is>
          <t>Wednesday</t>
        </is>
      </c>
      <c r="D153" s="13" t="inlineStr">
        <is>
          <t>REST DAY</t>
        </is>
      </c>
      <c r="E153" s="11" t="inlineStr">
        <is>
          <t>REST DAY — Rest, Recover &amp; Nourish ❤️</t>
        </is>
      </c>
      <c r="F153" s="12" t="n">
        <v>0</v>
      </c>
      <c r="G153" s="12" t="n">
        <v>0</v>
      </c>
      <c r="H153" s="11" t="inlineStr">
        <is>
          <t>Restorative Rest</t>
        </is>
      </c>
      <c r="I153" s="11" t="inlineStr">
        <is>
          <t>Scheduled REST DAY (Wednesday) — Muscle recovery, sleep &amp; nervous system rest. Zero workout pressure! ❤️</t>
        </is>
      </c>
      <c r="J153" s="11" t="inlineStr">
        <is>
          <t>Zero workout assigned. Rest is 100% productive and honored. Keep hydration &amp; comfortable meals.</t>
        </is>
      </c>
      <c r="K153" s="11" t="inlineStr">
        <is>
          <t>Hand on heart, deep peaceful breathing, soothing chamomile or warm water.</t>
        </is>
      </c>
      <c r="L153" s="11" t="inlineStr">
        <is>
          <t>Optional gentle stroll around room if desired, never mandatory.</t>
        </is>
      </c>
      <c r="M153" s="11" t="inlineStr">
        <is>
          <t>N/A (Scheduled Rest Day)</t>
        </is>
      </c>
    </row>
    <row r="154" ht="32" customHeight="1">
      <c r="A154" s="10" t="inlineStr">
        <is>
          <t>2027-03-25</t>
        </is>
      </c>
      <c r="B154" s="10" t="n">
        <v>153</v>
      </c>
      <c r="C154" s="10" t="inlineStr">
        <is>
          <t>Thursday</t>
        </is>
      </c>
      <c r="D154" s="14" t="inlineStr">
        <is>
          <t>ZUMBA SESSION</t>
        </is>
      </c>
      <c r="E154" s="11" t="inlineStr">
        <is>
          <t>25-Min Radiant Celebration Zumba Masterclass</t>
        </is>
      </c>
      <c r="F154" s="12" t="n">
        <v>25</v>
      </c>
      <c r="G154" s="12" t="n">
        <v>200</v>
      </c>
      <c r="H154" s="11" t="inlineStr">
        <is>
          <t>Masterclass Dance Party</t>
        </is>
      </c>
      <c r="I154" s="11" t="inlineStr">
        <is>
          <t>3 minutes energetic groove warm-up. You are vibrant, strong, and confident! Celebrate your 240-day transformation with joyful dance.</t>
        </is>
      </c>
      <c r="J154" s="11" t="inlineStr">
        <is>
          <t>Full Fiesta Groove (8 mins) • Bollywood Anthem Dance (8 mins) • Latin Salsa Carnival (9 mins)</t>
        </is>
      </c>
      <c r="K154" s="11" t="inlineStr">
        <is>
          <t>3 minutes graceful gratitude dance cool-down.</t>
        </is>
      </c>
      <c r="L154" s="11" t="inlineStr">
        <is>
          <t>Take sips of water whenever thirsty and enjoy every song.</t>
        </is>
      </c>
      <c r="M154" s="11" t="inlineStr">
        <is>
          <t>https://www.youtube.com/results?search_query=25+minute+zumba+dance+workout+total+body+fitness</t>
        </is>
      </c>
    </row>
    <row r="155" ht="32" customHeight="1">
      <c r="A155" s="10" t="inlineStr">
        <is>
          <t>2027-03-26</t>
        </is>
      </c>
      <c r="B155" s="10" t="n">
        <v>154</v>
      </c>
      <c r="C155" s="10" t="inlineStr">
        <is>
          <t>Friday</t>
        </is>
      </c>
      <c r="D155" s="14" t="inlineStr">
        <is>
          <t>ZUMBA SESSION</t>
        </is>
      </c>
      <c r="E155" s="11" t="inlineStr">
        <is>
          <t>20-Min Full Body Zumba Fiesta &amp; Core Tone</t>
        </is>
      </c>
      <c r="F155" s="12" t="n">
        <v>20</v>
      </c>
      <c r="G155" s="12" t="n">
        <v>155</v>
      </c>
      <c r="H155" s="11" t="inlineStr">
        <is>
          <t>Zumba Fiesta &amp; Tone</t>
        </is>
      </c>
      <c r="I155" s="11" t="inlineStr">
        <is>
          <t>3 minutes dynamic dance warm-up. Full body dance rhythm that naturally engages your core, tones waist, and boosts endurance effortlessly.</t>
        </is>
      </c>
      <c r="J155" s="11" t="inlineStr">
        <is>
          <t>Cumbia Two-Step &amp; Pump (5 mins) • Bollywood Desi Thumka (5 mins) • Salsa Double Step (5 mins) • Samba Shimmy &amp; Reach (5 mins)</t>
        </is>
      </c>
      <c r="K155" s="11" t="inlineStr">
        <is>
          <t>3 minutes slow waltz flow and full body stretch.</t>
        </is>
      </c>
      <c r="L155" s="11" t="inlineStr">
        <is>
          <t>Omit quick pivots; maintain simple two-step touch.</t>
        </is>
      </c>
      <c r="M155" s="11" t="inlineStr">
        <is>
          <t>https://www.youtube.com/results?search_query=20+minute+zumba+dance+party+at+home+sweat+and+smile</t>
        </is>
      </c>
    </row>
    <row r="156" ht="32" customHeight="1">
      <c r="A156" s="10" t="inlineStr">
        <is>
          <t>2027-03-27</t>
        </is>
      </c>
      <c r="B156" s="10" t="n">
        <v>155</v>
      </c>
      <c r="C156" s="10" t="inlineStr">
        <is>
          <t>Saturday</t>
        </is>
      </c>
      <c r="D156" s="13" t="inlineStr">
        <is>
          <t>REST DAY</t>
        </is>
      </c>
      <c r="E156" s="11" t="inlineStr">
        <is>
          <t>REST DAY — Rest, Recover &amp; Nourish ❤️</t>
        </is>
      </c>
      <c r="F156" s="12" t="n">
        <v>0</v>
      </c>
      <c r="G156" s="12" t="n">
        <v>0</v>
      </c>
      <c r="H156" s="11" t="inlineStr">
        <is>
          <t>Restorative Rest</t>
        </is>
      </c>
      <c r="I156" s="11" t="inlineStr">
        <is>
          <t>Scheduled REST DAY (Saturday) — Muscle recovery, sleep &amp; nervous system rest. Zero workout pressure! ❤️</t>
        </is>
      </c>
      <c r="J156" s="11" t="inlineStr">
        <is>
          <t>Zero workout assigned. Rest is 100% productive and honored. Keep hydration &amp; comfortable meals.</t>
        </is>
      </c>
      <c r="K156" s="11" t="inlineStr">
        <is>
          <t>Hand on heart, deep peaceful breathing, soothing chamomile or warm water.</t>
        </is>
      </c>
      <c r="L156" s="11" t="inlineStr">
        <is>
          <t>Optional gentle stroll around room if desired, never mandatory.</t>
        </is>
      </c>
      <c r="M156" s="11" t="inlineStr">
        <is>
          <t>N/A (Scheduled Rest Day)</t>
        </is>
      </c>
    </row>
    <row r="157" ht="32" customHeight="1">
      <c r="A157" s="10" t="inlineStr">
        <is>
          <t>2027-03-28</t>
        </is>
      </c>
      <c r="B157" s="10" t="n">
        <v>156</v>
      </c>
      <c r="C157" s="10" t="inlineStr">
        <is>
          <t>Sunday</t>
        </is>
      </c>
      <c r="D157" s="13" t="inlineStr">
        <is>
          <t>REST DAY</t>
        </is>
      </c>
      <c r="E157" s="11" t="inlineStr">
        <is>
          <t>REST DAY — Rest, Recover &amp; Nourish ❤️</t>
        </is>
      </c>
      <c r="F157" s="12" t="n">
        <v>0</v>
      </c>
      <c r="G157" s="12" t="n">
        <v>0</v>
      </c>
      <c r="H157" s="11" t="inlineStr">
        <is>
          <t>Restorative Rest</t>
        </is>
      </c>
      <c r="I157" s="11" t="inlineStr">
        <is>
          <t>Scheduled REST DAY (Sunday) — Muscle recovery, sleep &amp; nervous system rest. Zero workout pressure! ❤️</t>
        </is>
      </c>
      <c r="J157" s="11" t="inlineStr">
        <is>
          <t>Zero workout assigned. Rest is 100% productive and honored. Keep hydration &amp; comfortable meals.</t>
        </is>
      </c>
      <c r="K157" s="11" t="inlineStr">
        <is>
          <t>Hand on heart, deep peaceful breathing, soothing chamomile or warm water.</t>
        </is>
      </c>
      <c r="L157" s="11" t="inlineStr">
        <is>
          <t>Optional gentle stroll around room if desired, never mandatory.</t>
        </is>
      </c>
      <c r="M157" s="11" t="inlineStr">
        <is>
          <t>N/A (Scheduled Rest Day)</t>
        </is>
      </c>
    </row>
    <row r="158" ht="32" customHeight="1">
      <c r="A158" s="10" t="inlineStr">
        <is>
          <t>2027-03-29</t>
        </is>
      </c>
      <c r="B158" s="10" t="n">
        <v>157</v>
      </c>
      <c r="C158" s="10" t="inlineStr">
        <is>
          <t>Monday</t>
        </is>
      </c>
      <c r="D158" s="14" t="inlineStr">
        <is>
          <t>ZUMBA SESSION</t>
        </is>
      </c>
      <c r="E158" s="11" t="inlineStr">
        <is>
          <t>25-Min Radiant Celebration Zumba Masterclass</t>
        </is>
      </c>
      <c r="F158" s="12" t="n">
        <v>25</v>
      </c>
      <c r="G158" s="12" t="n">
        <v>200</v>
      </c>
      <c r="H158" s="11" t="inlineStr">
        <is>
          <t>Masterclass Dance Party</t>
        </is>
      </c>
      <c r="I158" s="11" t="inlineStr">
        <is>
          <t>3 minutes energetic groove warm-up. You are vibrant, strong, and confident! Celebrate your 240-day transformation with joyful dance.</t>
        </is>
      </c>
      <c r="J158" s="11" t="inlineStr">
        <is>
          <t>Full Fiesta Groove (8 mins) • Bollywood Anthem Dance (8 mins) • Latin Salsa Carnival (9 mins)</t>
        </is>
      </c>
      <c r="K158" s="11" t="inlineStr">
        <is>
          <t>3 minutes graceful gratitude dance cool-down.</t>
        </is>
      </c>
      <c r="L158" s="11" t="inlineStr">
        <is>
          <t>Take sips of water whenever thirsty and enjoy every song.</t>
        </is>
      </c>
      <c r="M158" s="11" t="inlineStr">
        <is>
          <t>https://www.youtube.com/results?search_query=25+minute+zumba+dance+workout+total+body+fitness</t>
        </is>
      </c>
    </row>
    <row r="159" ht="32" customHeight="1">
      <c r="A159" s="10" t="inlineStr">
        <is>
          <t>2027-03-30</t>
        </is>
      </c>
      <c r="B159" s="10" t="n">
        <v>158</v>
      </c>
      <c r="C159" s="10" t="inlineStr">
        <is>
          <t>Tuesday</t>
        </is>
      </c>
      <c r="D159" s="14" t="inlineStr">
        <is>
          <t>ZUMBA SESSION</t>
        </is>
      </c>
      <c r="E159" s="11" t="inlineStr">
        <is>
          <t>20-Min Full Body Zumba Fiesta &amp; Core Tone</t>
        </is>
      </c>
      <c r="F159" s="12" t="n">
        <v>20</v>
      </c>
      <c r="G159" s="12" t="n">
        <v>155</v>
      </c>
      <c r="H159" s="11" t="inlineStr">
        <is>
          <t>Zumba Fiesta &amp; Tone</t>
        </is>
      </c>
      <c r="I159" s="11" t="inlineStr">
        <is>
          <t>3 minutes dynamic dance warm-up. Full body dance rhythm that naturally engages your core, tones waist, and boosts endurance effortlessly.</t>
        </is>
      </c>
      <c r="J159" s="11" t="inlineStr">
        <is>
          <t>Cumbia Two-Step &amp; Pump (5 mins) • Bollywood Desi Thumka (5 mins) • Salsa Double Step (5 mins) • Samba Shimmy &amp; Reach (5 mins)</t>
        </is>
      </c>
      <c r="K159" s="11" t="inlineStr">
        <is>
          <t>3 minutes slow waltz flow and full body stretch.</t>
        </is>
      </c>
      <c r="L159" s="11" t="inlineStr">
        <is>
          <t>Omit quick pivots; maintain simple two-step touch.</t>
        </is>
      </c>
      <c r="M159" s="11" t="inlineStr">
        <is>
          <t>https://www.youtube.com/results?search_query=20+minute+zumba+dance+party+at+home+sweat+and+smile</t>
        </is>
      </c>
    </row>
    <row r="160" ht="32" customHeight="1">
      <c r="A160" s="10" t="inlineStr">
        <is>
          <t>2027-03-31</t>
        </is>
      </c>
      <c r="B160" s="10" t="n">
        <v>159</v>
      </c>
      <c r="C160" s="10" t="inlineStr">
        <is>
          <t>Wednesday</t>
        </is>
      </c>
      <c r="D160" s="13" t="inlineStr">
        <is>
          <t>REST DAY</t>
        </is>
      </c>
      <c r="E160" s="11" t="inlineStr">
        <is>
          <t>REST DAY — Rest, Recover &amp; Nourish ❤️</t>
        </is>
      </c>
      <c r="F160" s="12" t="n">
        <v>0</v>
      </c>
      <c r="G160" s="12" t="n">
        <v>0</v>
      </c>
      <c r="H160" s="11" t="inlineStr">
        <is>
          <t>Restorative Rest</t>
        </is>
      </c>
      <c r="I160" s="11" t="inlineStr">
        <is>
          <t>Scheduled REST DAY (Wednesday) — Muscle recovery, sleep &amp; nervous system rest. Zero workout pressure! ❤️</t>
        </is>
      </c>
      <c r="J160" s="11" t="inlineStr">
        <is>
          <t>Zero workout assigned. Rest is 100% productive and honored. Keep hydration &amp; comfortable meals.</t>
        </is>
      </c>
      <c r="K160" s="11" t="inlineStr">
        <is>
          <t>Hand on heart, deep peaceful breathing, soothing chamomile or warm water.</t>
        </is>
      </c>
      <c r="L160" s="11" t="inlineStr">
        <is>
          <t>Optional gentle stroll around room if desired, never mandatory.</t>
        </is>
      </c>
      <c r="M160" s="11" t="inlineStr">
        <is>
          <t>N/A (Scheduled Rest Day)</t>
        </is>
      </c>
    </row>
    <row r="161" ht="32" customHeight="1">
      <c r="A161" s="10" t="inlineStr">
        <is>
          <t>2027-04-01</t>
        </is>
      </c>
      <c r="B161" s="10" t="n">
        <v>160</v>
      </c>
      <c r="C161" s="10" t="inlineStr">
        <is>
          <t>Thursday</t>
        </is>
      </c>
      <c r="D161" s="14" t="inlineStr">
        <is>
          <t>ZUMBA SESSION</t>
        </is>
      </c>
      <c r="E161" s="11" t="inlineStr">
        <is>
          <t>25-Min Radiant Celebration Zumba Masterclass</t>
        </is>
      </c>
      <c r="F161" s="12" t="n">
        <v>25</v>
      </c>
      <c r="G161" s="12" t="n">
        <v>200</v>
      </c>
      <c r="H161" s="11" t="inlineStr">
        <is>
          <t>Masterclass Dance Party</t>
        </is>
      </c>
      <c r="I161" s="11" t="inlineStr">
        <is>
          <t>3 minutes energetic groove warm-up. You are vibrant, strong, and confident! Celebrate your 240-day transformation with joyful dance.</t>
        </is>
      </c>
      <c r="J161" s="11" t="inlineStr">
        <is>
          <t>Full Fiesta Groove (8 mins) • Bollywood Anthem Dance (8 mins) • Latin Salsa Carnival (9 mins)</t>
        </is>
      </c>
      <c r="K161" s="11" t="inlineStr">
        <is>
          <t>3 minutes graceful gratitude dance cool-down.</t>
        </is>
      </c>
      <c r="L161" s="11" t="inlineStr">
        <is>
          <t>Take sips of water whenever thirsty and enjoy every song.</t>
        </is>
      </c>
      <c r="M161" s="11" t="inlineStr">
        <is>
          <t>https://www.youtube.com/results?search_query=25+minute+zumba+dance+workout+total+body+fitness</t>
        </is>
      </c>
    </row>
    <row r="162" ht="32" customHeight="1">
      <c r="A162" s="10" t="inlineStr">
        <is>
          <t>2027-04-02</t>
        </is>
      </c>
      <c r="B162" s="10" t="n">
        <v>161</v>
      </c>
      <c r="C162" s="10" t="inlineStr">
        <is>
          <t>Friday</t>
        </is>
      </c>
      <c r="D162" s="14" t="inlineStr">
        <is>
          <t>ZUMBA SESSION</t>
        </is>
      </c>
      <c r="E162" s="11" t="inlineStr">
        <is>
          <t>20-Min Full Body Zumba Fiesta &amp; Core Tone</t>
        </is>
      </c>
      <c r="F162" s="12" t="n">
        <v>20</v>
      </c>
      <c r="G162" s="12" t="n">
        <v>155</v>
      </c>
      <c r="H162" s="11" t="inlineStr">
        <is>
          <t>Zumba Fiesta &amp; Tone</t>
        </is>
      </c>
      <c r="I162" s="11" t="inlineStr">
        <is>
          <t>3 minutes dynamic dance warm-up. Full body dance rhythm that naturally engages your core, tones waist, and boosts endurance effortlessly.</t>
        </is>
      </c>
      <c r="J162" s="11" t="inlineStr">
        <is>
          <t>Cumbia Two-Step &amp; Pump (5 mins) • Bollywood Desi Thumka (5 mins) • Salsa Double Step (5 mins) • Samba Shimmy &amp; Reach (5 mins)</t>
        </is>
      </c>
      <c r="K162" s="11" t="inlineStr">
        <is>
          <t>3 minutes slow waltz flow and full body stretch.</t>
        </is>
      </c>
      <c r="L162" s="11" t="inlineStr">
        <is>
          <t>Omit quick pivots; maintain simple two-step touch.</t>
        </is>
      </c>
      <c r="M162" s="11" t="inlineStr">
        <is>
          <t>https://www.youtube.com/results?search_query=20+minute+zumba+dance+party+at+home+sweat+and+smile</t>
        </is>
      </c>
    </row>
    <row r="163" ht="32" customHeight="1">
      <c r="A163" s="10" t="inlineStr">
        <is>
          <t>2027-04-03</t>
        </is>
      </c>
      <c r="B163" s="10" t="n">
        <v>162</v>
      </c>
      <c r="C163" s="10" t="inlineStr">
        <is>
          <t>Saturday</t>
        </is>
      </c>
      <c r="D163" s="13" t="inlineStr">
        <is>
          <t>REST DAY</t>
        </is>
      </c>
      <c r="E163" s="11" t="inlineStr">
        <is>
          <t>REST DAY — Rest, Recover &amp; Nourish ❤️</t>
        </is>
      </c>
      <c r="F163" s="12" t="n">
        <v>0</v>
      </c>
      <c r="G163" s="12" t="n">
        <v>0</v>
      </c>
      <c r="H163" s="11" t="inlineStr">
        <is>
          <t>Restorative Rest</t>
        </is>
      </c>
      <c r="I163" s="11" t="inlineStr">
        <is>
          <t>Scheduled REST DAY (Saturday) — Muscle recovery, sleep &amp; nervous system rest. Zero workout pressure! ❤️</t>
        </is>
      </c>
      <c r="J163" s="11" t="inlineStr">
        <is>
          <t>Zero workout assigned. Rest is 100% productive and honored. Keep hydration &amp; comfortable meals.</t>
        </is>
      </c>
      <c r="K163" s="11" t="inlineStr">
        <is>
          <t>Hand on heart, deep peaceful breathing, soothing chamomile or warm water.</t>
        </is>
      </c>
      <c r="L163" s="11" t="inlineStr">
        <is>
          <t>Optional gentle stroll around room if desired, never mandatory.</t>
        </is>
      </c>
      <c r="M163" s="11" t="inlineStr">
        <is>
          <t>N/A (Scheduled Rest Day)</t>
        </is>
      </c>
    </row>
    <row r="164" ht="32" customHeight="1">
      <c r="A164" s="10" t="inlineStr">
        <is>
          <t>2027-04-04</t>
        </is>
      </c>
      <c r="B164" s="10" t="n">
        <v>163</v>
      </c>
      <c r="C164" s="10" t="inlineStr">
        <is>
          <t>Sunday</t>
        </is>
      </c>
      <c r="D164" s="13" t="inlineStr">
        <is>
          <t>REST DAY</t>
        </is>
      </c>
      <c r="E164" s="11" t="inlineStr">
        <is>
          <t>REST DAY — Rest, Recover &amp; Nourish ❤️</t>
        </is>
      </c>
      <c r="F164" s="12" t="n">
        <v>0</v>
      </c>
      <c r="G164" s="12" t="n">
        <v>0</v>
      </c>
      <c r="H164" s="11" t="inlineStr">
        <is>
          <t>Restorative Rest</t>
        </is>
      </c>
      <c r="I164" s="11" t="inlineStr">
        <is>
          <t>Scheduled REST DAY (Sunday) — Muscle recovery, sleep &amp; nervous system rest. Zero workout pressure! ❤️</t>
        </is>
      </c>
      <c r="J164" s="11" t="inlineStr">
        <is>
          <t>Zero workout assigned. Rest is 100% productive and honored. Keep hydration &amp; comfortable meals.</t>
        </is>
      </c>
      <c r="K164" s="11" t="inlineStr">
        <is>
          <t>Hand on heart, deep peaceful breathing, soothing chamomile or warm water.</t>
        </is>
      </c>
      <c r="L164" s="11" t="inlineStr">
        <is>
          <t>Optional gentle stroll around room if desired, never mandatory.</t>
        </is>
      </c>
      <c r="M164" s="11" t="inlineStr">
        <is>
          <t>N/A (Scheduled Rest Day)</t>
        </is>
      </c>
    </row>
    <row r="165" ht="32" customHeight="1">
      <c r="A165" s="10" t="inlineStr">
        <is>
          <t>2027-04-05</t>
        </is>
      </c>
      <c r="B165" s="10" t="n">
        <v>164</v>
      </c>
      <c r="C165" s="10" t="inlineStr">
        <is>
          <t>Monday</t>
        </is>
      </c>
      <c r="D165" s="14" t="inlineStr">
        <is>
          <t>ZUMBA SESSION</t>
        </is>
      </c>
      <c r="E165" s="11" t="inlineStr">
        <is>
          <t>25-Min Radiant Celebration Zumba Masterclass</t>
        </is>
      </c>
      <c r="F165" s="12" t="n">
        <v>25</v>
      </c>
      <c r="G165" s="12" t="n">
        <v>200</v>
      </c>
      <c r="H165" s="11" t="inlineStr">
        <is>
          <t>Masterclass Dance Party</t>
        </is>
      </c>
      <c r="I165" s="11" t="inlineStr">
        <is>
          <t>3 minutes energetic groove warm-up. You are vibrant, strong, and confident! Celebrate your 240-day transformation with joyful dance.</t>
        </is>
      </c>
      <c r="J165" s="11" t="inlineStr">
        <is>
          <t>Full Fiesta Groove (8 mins) • Bollywood Anthem Dance (8 mins) • Latin Salsa Carnival (9 mins)</t>
        </is>
      </c>
      <c r="K165" s="11" t="inlineStr">
        <is>
          <t>3 minutes graceful gratitude dance cool-down.</t>
        </is>
      </c>
      <c r="L165" s="11" t="inlineStr">
        <is>
          <t>Take sips of water whenever thirsty and enjoy every song.</t>
        </is>
      </c>
      <c r="M165" s="11" t="inlineStr">
        <is>
          <t>https://www.youtube.com/results?search_query=25+minute+zumba+dance+workout+total+body+fitness</t>
        </is>
      </c>
    </row>
    <row r="166" ht="32" customHeight="1">
      <c r="A166" s="10" t="inlineStr">
        <is>
          <t>2027-04-06</t>
        </is>
      </c>
      <c r="B166" s="10" t="n">
        <v>165</v>
      </c>
      <c r="C166" s="10" t="inlineStr">
        <is>
          <t>Tuesday</t>
        </is>
      </c>
      <c r="D166" s="14" t="inlineStr">
        <is>
          <t>ZUMBA SESSION</t>
        </is>
      </c>
      <c r="E166" s="11" t="inlineStr">
        <is>
          <t>20-Min Full Body Zumba Fiesta &amp; Core Tone</t>
        </is>
      </c>
      <c r="F166" s="12" t="n">
        <v>20</v>
      </c>
      <c r="G166" s="12" t="n">
        <v>155</v>
      </c>
      <c r="H166" s="11" t="inlineStr">
        <is>
          <t>Zumba Fiesta &amp; Tone</t>
        </is>
      </c>
      <c r="I166" s="11" t="inlineStr">
        <is>
          <t>3 minutes dynamic dance warm-up. Full body dance rhythm that naturally engages your core, tones waist, and boosts endurance effortlessly.</t>
        </is>
      </c>
      <c r="J166" s="11" t="inlineStr">
        <is>
          <t>Cumbia Two-Step &amp; Pump (5 mins) • Bollywood Desi Thumka (5 mins) • Salsa Double Step (5 mins) • Samba Shimmy &amp; Reach (5 mins)</t>
        </is>
      </c>
      <c r="K166" s="11" t="inlineStr">
        <is>
          <t>3 minutes slow waltz flow and full body stretch.</t>
        </is>
      </c>
      <c r="L166" s="11" t="inlineStr">
        <is>
          <t>Omit quick pivots; maintain simple two-step touch.</t>
        </is>
      </c>
      <c r="M166" s="11" t="inlineStr">
        <is>
          <t>https://www.youtube.com/results?search_query=20+minute+zumba+dance+party+at+home+sweat+and+smile</t>
        </is>
      </c>
    </row>
    <row r="167" ht="32" customHeight="1">
      <c r="A167" s="10" t="inlineStr">
        <is>
          <t>2027-04-07</t>
        </is>
      </c>
      <c r="B167" s="10" t="n">
        <v>166</v>
      </c>
      <c r="C167" s="10" t="inlineStr">
        <is>
          <t>Wednesday</t>
        </is>
      </c>
      <c r="D167" s="13" t="inlineStr">
        <is>
          <t>REST DAY</t>
        </is>
      </c>
      <c r="E167" s="11" t="inlineStr">
        <is>
          <t>REST DAY — Rest, Recover &amp; Nourish ❤️</t>
        </is>
      </c>
      <c r="F167" s="12" t="n">
        <v>0</v>
      </c>
      <c r="G167" s="12" t="n">
        <v>0</v>
      </c>
      <c r="H167" s="11" t="inlineStr">
        <is>
          <t>Restorative Rest</t>
        </is>
      </c>
      <c r="I167" s="11" t="inlineStr">
        <is>
          <t>Scheduled REST DAY (Wednesday) — Muscle recovery, sleep &amp; nervous system rest. Zero workout pressure! ❤️</t>
        </is>
      </c>
      <c r="J167" s="11" t="inlineStr">
        <is>
          <t>Zero workout assigned. Rest is 100% productive and honored. Keep hydration &amp; comfortable meals.</t>
        </is>
      </c>
      <c r="K167" s="11" t="inlineStr">
        <is>
          <t>Hand on heart, deep peaceful breathing, soothing chamomile or warm water.</t>
        </is>
      </c>
      <c r="L167" s="11" t="inlineStr">
        <is>
          <t>Optional gentle stroll around room if desired, never mandatory.</t>
        </is>
      </c>
      <c r="M167" s="11" t="inlineStr">
        <is>
          <t>N/A (Scheduled Rest Day)</t>
        </is>
      </c>
    </row>
    <row r="168" ht="32" customHeight="1">
      <c r="A168" s="10" t="inlineStr">
        <is>
          <t>2027-04-08</t>
        </is>
      </c>
      <c r="B168" s="10" t="n">
        <v>167</v>
      </c>
      <c r="C168" s="10" t="inlineStr">
        <is>
          <t>Thursday</t>
        </is>
      </c>
      <c r="D168" s="14" t="inlineStr">
        <is>
          <t>ZUMBA SESSION</t>
        </is>
      </c>
      <c r="E168" s="11" t="inlineStr">
        <is>
          <t>25-Min Radiant Celebration Zumba Masterclass</t>
        </is>
      </c>
      <c r="F168" s="12" t="n">
        <v>25</v>
      </c>
      <c r="G168" s="12" t="n">
        <v>200</v>
      </c>
      <c r="H168" s="11" t="inlineStr">
        <is>
          <t>Masterclass Dance Party</t>
        </is>
      </c>
      <c r="I168" s="11" t="inlineStr">
        <is>
          <t>3 minutes energetic groove warm-up. You are vibrant, strong, and confident! Celebrate your 240-day transformation with joyful dance.</t>
        </is>
      </c>
      <c r="J168" s="11" t="inlineStr">
        <is>
          <t>Full Fiesta Groove (8 mins) • Bollywood Anthem Dance (8 mins) • Latin Salsa Carnival (9 mins)</t>
        </is>
      </c>
      <c r="K168" s="11" t="inlineStr">
        <is>
          <t>3 minutes graceful gratitude dance cool-down.</t>
        </is>
      </c>
      <c r="L168" s="11" t="inlineStr">
        <is>
          <t>Take sips of water whenever thirsty and enjoy every song.</t>
        </is>
      </c>
      <c r="M168" s="11" t="inlineStr">
        <is>
          <t>https://www.youtube.com/results?search_query=25+minute+zumba+dance+workout+total+body+fitness</t>
        </is>
      </c>
    </row>
    <row r="169" ht="32" customHeight="1">
      <c r="A169" s="10" t="inlineStr">
        <is>
          <t>2027-04-09</t>
        </is>
      </c>
      <c r="B169" s="10" t="n">
        <v>168</v>
      </c>
      <c r="C169" s="10" t="inlineStr">
        <is>
          <t>Friday</t>
        </is>
      </c>
      <c r="D169" s="14" t="inlineStr">
        <is>
          <t>ZUMBA SESSION</t>
        </is>
      </c>
      <c r="E169" s="11" t="inlineStr">
        <is>
          <t>20-Min Full Body Zumba Fiesta &amp; Core Tone</t>
        </is>
      </c>
      <c r="F169" s="12" t="n">
        <v>20</v>
      </c>
      <c r="G169" s="12" t="n">
        <v>155</v>
      </c>
      <c r="H169" s="11" t="inlineStr">
        <is>
          <t>Zumba Fiesta &amp; Tone</t>
        </is>
      </c>
      <c r="I169" s="11" t="inlineStr">
        <is>
          <t>3 minutes dynamic dance warm-up. Full body dance rhythm that naturally engages your core, tones waist, and boosts endurance effortlessly.</t>
        </is>
      </c>
      <c r="J169" s="11" t="inlineStr">
        <is>
          <t>Cumbia Two-Step &amp; Pump (5 mins) • Bollywood Desi Thumka (5 mins) • Salsa Double Step (5 mins) • Samba Shimmy &amp; Reach (5 mins)</t>
        </is>
      </c>
      <c r="K169" s="11" t="inlineStr">
        <is>
          <t>3 minutes slow waltz flow and full body stretch.</t>
        </is>
      </c>
      <c r="L169" s="11" t="inlineStr">
        <is>
          <t>Omit quick pivots; maintain simple two-step touch.</t>
        </is>
      </c>
      <c r="M169" s="11" t="inlineStr">
        <is>
          <t>https://www.youtube.com/results?search_query=20+minute+zumba+dance+party+at+home+sweat+and+smile</t>
        </is>
      </c>
    </row>
    <row r="170" ht="32" customHeight="1">
      <c r="A170" s="10" t="inlineStr">
        <is>
          <t>2027-04-10</t>
        </is>
      </c>
      <c r="B170" s="10" t="n">
        <v>169</v>
      </c>
      <c r="C170" s="10" t="inlineStr">
        <is>
          <t>Saturday</t>
        </is>
      </c>
      <c r="D170" s="13" t="inlineStr">
        <is>
          <t>REST DAY</t>
        </is>
      </c>
      <c r="E170" s="11" t="inlineStr">
        <is>
          <t>REST DAY — Rest, Recover &amp; Nourish ❤️</t>
        </is>
      </c>
      <c r="F170" s="12" t="n">
        <v>0</v>
      </c>
      <c r="G170" s="12" t="n">
        <v>0</v>
      </c>
      <c r="H170" s="11" t="inlineStr">
        <is>
          <t>Restorative Rest</t>
        </is>
      </c>
      <c r="I170" s="11" t="inlineStr">
        <is>
          <t>Scheduled REST DAY (Saturday) — Muscle recovery, sleep &amp; nervous system rest. Zero workout pressure! ❤️</t>
        </is>
      </c>
      <c r="J170" s="11" t="inlineStr">
        <is>
          <t>Zero workout assigned. Rest is 100% productive and honored. Keep hydration &amp; comfortable meals.</t>
        </is>
      </c>
      <c r="K170" s="11" t="inlineStr">
        <is>
          <t>Hand on heart, deep peaceful breathing, soothing chamomile or warm water.</t>
        </is>
      </c>
      <c r="L170" s="11" t="inlineStr">
        <is>
          <t>Optional gentle stroll around room if desired, never mandatory.</t>
        </is>
      </c>
      <c r="M170" s="11" t="inlineStr">
        <is>
          <t>N/A (Scheduled Rest Day)</t>
        </is>
      </c>
    </row>
    <row r="171" ht="32" customHeight="1">
      <c r="A171" s="10" t="inlineStr">
        <is>
          <t>2027-04-11</t>
        </is>
      </c>
      <c r="B171" s="10" t="n">
        <v>170</v>
      </c>
      <c r="C171" s="10" t="inlineStr">
        <is>
          <t>Sunday</t>
        </is>
      </c>
      <c r="D171" s="13" t="inlineStr">
        <is>
          <t>REST DAY</t>
        </is>
      </c>
      <c r="E171" s="11" t="inlineStr">
        <is>
          <t>REST DAY — Rest, Recover &amp; Nourish ❤️</t>
        </is>
      </c>
      <c r="F171" s="12" t="n">
        <v>0</v>
      </c>
      <c r="G171" s="12" t="n">
        <v>0</v>
      </c>
      <c r="H171" s="11" t="inlineStr">
        <is>
          <t>Restorative Rest</t>
        </is>
      </c>
      <c r="I171" s="11" t="inlineStr">
        <is>
          <t>Scheduled REST DAY (Sunday) — Muscle recovery, sleep &amp; nervous system rest. Zero workout pressure! ❤️</t>
        </is>
      </c>
      <c r="J171" s="11" t="inlineStr">
        <is>
          <t>Zero workout assigned. Rest is 100% productive and honored. Keep hydration &amp; comfortable meals.</t>
        </is>
      </c>
      <c r="K171" s="11" t="inlineStr">
        <is>
          <t>Hand on heart, deep peaceful breathing, soothing chamomile or warm water.</t>
        </is>
      </c>
      <c r="L171" s="11" t="inlineStr">
        <is>
          <t>Optional gentle stroll around room if desired, never mandatory.</t>
        </is>
      </c>
      <c r="M171" s="11" t="inlineStr">
        <is>
          <t>N/A (Scheduled Rest Day)</t>
        </is>
      </c>
    </row>
    <row r="172" ht="32" customHeight="1">
      <c r="A172" s="10" t="inlineStr">
        <is>
          <t>2027-04-12</t>
        </is>
      </c>
      <c r="B172" s="10" t="n">
        <v>171</v>
      </c>
      <c r="C172" s="10" t="inlineStr">
        <is>
          <t>Monday</t>
        </is>
      </c>
      <c r="D172" s="14" t="inlineStr">
        <is>
          <t>ZUMBA SESSION</t>
        </is>
      </c>
      <c r="E172" s="11" t="inlineStr">
        <is>
          <t>25-Min Radiant Celebration Zumba Masterclass</t>
        </is>
      </c>
      <c r="F172" s="12" t="n">
        <v>25</v>
      </c>
      <c r="G172" s="12" t="n">
        <v>200</v>
      </c>
      <c r="H172" s="11" t="inlineStr">
        <is>
          <t>Masterclass Dance Party</t>
        </is>
      </c>
      <c r="I172" s="11" t="inlineStr">
        <is>
          <t>3 minutes energetic groove warm-up. You are vibrant, strong, and confident! Celebrate your 240-day transformation with joyful dance.</t>
        </is>
      </c>
      <c r="J172" s="11" t="inlineStr">
        <is>
          <t>Full Fiesta Groove (8 mins) • Bollywood Anthem Dance (8 mins) • Latin Salsa Carnival (9 mins)</t>
        </is>
      </c>
      <c r="K172" s="11" t="inlineStr">
        <is>
          <t>3 minutes graceful gratitude dance cool-down.</t>
        </is>
      </c>
      <c r="L172" s="11" t="inlineStr">
        <is>
          <t>Take sips of water whenever thirsty and enjoy every song.</t>
        </is>
      </c>
      <c r="M172" s="11" t="inlineStr">
        <is>
          <t>https://www.youtube.com/results?search_query=25+minute+zumba+dance+workout+total+body+fitness</t>
        </is>
      </c>
    </row>
    <row r="173" ht="32" customHeight="1">
      <c r="A173" s="10" t="inlineStr">
        <is>
          <t>2027-04-13</t>
        </is>
      </c>
      <c r="B173" s="10" t="n">
        <v>172</v>
      </c>
      <c r="C173" s="10" t="inlineStr">
        <is>
          <t>Tuesday</t>
        </is>
      </c>
      <c r="D173" s="14" t="inlineStr">
        <is>
          <t>ZUMBA SESSION</t>
        </is>
      </c>
      <c r="E173" s="11" t="inlineStr">
        <is>
          <t>20-Min Full Body Zumba Fiesta &amp; Core Tone</t>
        </is>
      </c>
      <c r="F173" s="12" t="n">
        <v>20</v>
      </c>
      <c r="G173" s="12" t="n">
        <v>155</v>
      </c>
      <c r="H173" s="11" t="inlineStr">
        <is>
          <t>Zumba Fiesta &amp; Tone</t>
        </is>
      </c>
      <c r="I173" s="11" t="inlineStr">
        <is>
          <t>3 minutes dynamic dance warm-up. Full body dance rhythm that naturally engages your core, tones waist, and boosts endurance effortlessly.</t>
        </is>
      </c>
      <c r="J173" s="11" t="inlineStr">
        <is>
          <t>Cumbia Two-Step &amp; Pump (5 mins) • Bollywood Desi Thumka (5 mins) • Salsa Double Step (5 mins) • Samba Shimmy &amp; Reach (5 mins)</t>
        </is>
      </c>
      <c r="K173" s="11" t="inlineStr">
        <is>
          <t>3 minutes slow waltz flow and full body stretch.</t>
        </is>
      </c>
      <c r="L173" s="11" t="inlineStr">
        <is>
          <t>Omit quick pivots; maintain simple two-step touch.</t>
        </is>
      </c>
      <c r="M173" s="11" t="inlineStr">
        <is>
          <t>https://www.youtube.com/results?search_query=20+minute+zumba+dance+party+at+home+sweat+and+smile</t>
        </is>
      </c>
    </row>
    <row r="174" ht="32" customHeight="1">
      <c r="A174" s="10" t="inlineStr">
        <is>
          <t>2027-04-14</t>
        </is>
      </c>
      <c r="B174" s="10" t="n">
        <v>173</v>
      </c>
      <c r="C174" s="10" t="inlineStr">
        <is>
          <t>Wednesday</t>
        </is>
      </c>
      <c r="D174" s="13" t="inlineStr">
        <is>
          <t>REST DAY</t>
        </is>
      </c>
      <c r="E174" s="11" t="inlineStr">
        <is>
          <t>REST DAY — Rest, Recover &amp; Nourish ❤️</t>
        </is>
      </c>
      <c r="F174" s="12" t="n">
        <v>0</v>
      </c>
      <c r="G174" s="12" t="n">
        <v>0</v>
      </c>
      <c r="H174" s="11" t="inlineStr">
        <is>
          <t>Restorative Rest</t>
        </is>
      </c>
      <c r="I174" s="11" t="inlineStr">
        <is>
          <t>Scheduled REST DAY (Wednesday) — Muscle recovery, sleep &amp; nervous system rest. Zero workout pressure! ❤️</t>
        </is>
      </c>
      <c r="J174" s="11" t="inlineStr">
        <is>
          <t>Zero workout assigned. Rest is 100% productive and honored. Keep hydration &amp; comfortable meals.</t>
        </is>
      </c>
      <c r="K174" s="11" t="inlineStr">
        <is>
          <t>Hand on heart, deep peaceful breathing, soothing chamomile or warm water.</t>
        </is>
      </c>
      <c r="L174" s="11" t="inlineStr">
        <is>
          <t>Optional gentle stroll around room if desired, never mandatory.</t>
        </is>
      </c>
      <c r="M174" s="11" t="inlineStr">
        <is>
          <t>N/A (Scheduled Rest Day)</t>
        </is>
      </c>
    </row>
    <row r="175" ht="32" customHeight="1">
      <c r="A175" s="10" t="inlineStr">
        <is>
          <t>2027-04-15</t>
        </is>
      </c>
      <c r="B175" s="10" t="n">
        <v>174</v>
      </c>
      <c r="C175" s="10" t="inlineStr">
        <is>
          <t>Thursday</t>
        </is>
      </c>
      <c r="D175" s="14" t="inlineStr">
        <is>
          <t>ZUMBA SESSION</t>
        </is>
      </c>
      <c r="E175" s="11" t="inlineStr">
        <is>
          <t>25-Min Radiant Celebration Zumba Masterclass</t>
        </is>
      </c>
      <c r="F175" s="12" t="n">
        <v>25</v>
      </c>
      <c r="G175" s="12" t="n">
        <v>200</v>
      </c>
      <c r="H175" s="11" t="inlineStr">
        <is>
          <t>Masterclass Dance Party</t>
        </is>
      </c>
      <c r="I175" s="11" t="inlineStr">
        <is>
          <t>3 minutes energetic groove warm-up. You are vibrant, strong, and confident! Celebrate your 240-day transformation with joyful dance.</t>
        </is>
      </c>
      <c r="J175" s="11" t="inlineStr">
        <is>
          <t>Full Fiesta Groove (8 mins) • Bollywood Anthem Dance (8 mins) • Latin Salsa Carnival (9 mins)</t>
        </is>
      </c>
      <c r="K175" s="11" t="inlineStr">
        <is>
          <t>3 minutes graceful gratitude dance cool-down.</t>
        </is>
      </c>
      <c r="L175" s="11" t="inlineStr">
        <is>
          <t>Take sips of water whenever thirsty and enjoy every song.</t>
        </is>
      </c>
      <c r="M175" s="11" t="inlineStr">
        <is>
          <t>https://www.youtube.com/results?search_query=25+minute+zumba+dance+workout+total+body+fitness</t>
        </is>
      </c>
    </row>
    <row r="176" ht="32" customHeight="1">
      <c r="A176" s="10" t="inlineStr">
        <is>
          <t>2027-04-16</t>
        </is>
      </c>
      <c r="B176" s="10" t="n">
        <v>175</v>
      </c>
      <c r="C176" s="10" t="inlineStr">
        <is>
          <t>Friday</t>
        </is>
      </c>
      <c r="D176" s="14" t="inlineStr">
        <is>
          <t>ZUMBA SESSION</t>
        </is>
      </c>
      <c r="E176" s="11" t="inlineStr">
        <is>
          <t>20-Min Full Body Zumba Fiesta &amp; Core Tone</t>
        </is>
      </c>
      <c r="F176" s="12" t="n">
        <v>20</v>
      </c>
      <c r="G176" s="12" t="n">
        <v>155</v>
      </c>
      <c r="H176" s="11" t="inlineStr">
        <is>
          <t>Zumba Fiesta &amp; Tone</t>
        </is>
      </c>
      <c r="I176" s="11" t="inlineStr">
        <is>
          <t>3 minutes dynamic dance warm-up. Full body dance rhythm that naturally engages your core, tones waist, and boosts endurance effortlessly.</t>
        </is>
      </c>
      <c r="J176" s="11" t="inlineStr">
        <is>
          <t>Cumbia Two-Step &amp; Pump (5 mins) • Bollywood Desi Thumka (5 mins) • Salsa Double Step (5 mins) • Samba Shimmy &amp; Reach (5 mins)</t>
        </is>
      </c>
      <c r="K176" s="11" t="inlineStr">
        <is>
          <t>3 minutes slow waltz flow and full body stretch.</t>
        </is>
      </c>
      <c r="L176" s="11" t="inlineStr">
        <is>
          <t>Omit quick pivots; maintain simple two-step touch.</t>
        </is>
      </c>
      <c r="M176" s="11" t="inlineStr">
        <is>
          <t>https://www.youtube.com/results?search_query=20+minute+zumba+dance+party+at+home+sweat+and+smile</t>
        </is>
      </c>
    </row>
    <row r="177" ht="32" customHeight="1">
      <c r="A177" s="10" t="inlineStr">
        <is>
          <t>2027-04-17</t>
        </is>
      </c>
      <c r="B177" s="10" t="n">
        <v>176</v>
      </c>
      <c r="C177" s="10" t="inlineStr">
        <is>
          <t>Saturday</t>
        </is>
      </c>
      <c r="D177" s="13" t="inlineStr">
        <is>
          <t>REST DAY</t>
        </is>
      </c>
      <c r="E177" s="11" t="inlineStr">
        <is>
          <t>REST DAY — Rest, Recover &amp; Nourish ❤️</t>
        </is>
      </c>
      <c r="F177" s="12" t="n">
        <v>0</v>
      </c>
      <c r="G177" s="12" t="n">
        <v>0</v>
      </c>
      <c r="H177" s="11" t="inlineStr">
        <is>
          <t>Restorative Rest</t>
        </is>
      </c>
      <c r="I177" s="11" t="inlineStr">
        <is>
          <t>Scheduled REST DAY (Saturday) — Muscle recovery, sleep &amp; nervous system rest. Zero workout pressure! ❤️</t>
        </is>
      </c>
      <c r="J177" s="11" t="inlineStr">
        <is>
          <t>Zero workout assigned. Rest is 100% productive and honored. Keep hydration &amp; comfortable meals.</t>
        </is>
      </c>
      <c r="K177" s="11" t="inlineStr">
        <is>
          <t>Hand on heart, deep peaceful breathing, soothing chamomile or warm water.</t>
        </is>
      </c>
      <c r="L177" s="11" t="inlineStr">
        <is>
          <t>Optional gentle stroll around room if desired, never mandatory.</t>
        </is>
      </c>
      <c r="M177" s="11" t="inlineStr">
        <is>
          <t>N/A (Scheduled Rest Day)</t>
        </is>
      </c>
    </row>
    <row r="178" ht="32" customHeight="1">
      <c r="A178" s="10" t="inlineStr">
        <is>
          <t>2027-04-18</t>
        </is>
      </c>
      <c r="B178" s="10" t="n">
        <v>177</v>
      </c>
      <c r="C178" s="10" t="inlineStr">
        <is>
          <t>Sunday</t>
        </is>
      </c>
      <c r="D178" s="13" t="inlineStr">
        <is>
          <t>REST DAY</t>
        </is>
      </c>
      <c r="E178" s="11" t="inlineStr">
        <is>
          <t>REST DAY — Rest, Recover &amp; Nourish ❤️</t>
        </is>
      </c>
      <c r="F178" s="12" t="n">
        <v>0</v>
      </c>
      <c r="G178" s="12" t="n">
        <v>0</v>
      </c>
      <c r="H178" s="11" t="inlineStr">
        <is>
          <t>Restorative Rest</t>
        </is>
      </c>
      <c r="I178" s="11" t="inlineStr">
        <is>
          <t>Scheduled REST DAY (Sunday) — Muscle recovery, sleep &amp; nervous system rest. Zero workout pressure! ❤️</t>
        </is>
      </c>
      <c r="J178" s="11" t="inlineStr">
        <is>
          <t>Zero workout assigned. Rest is 100% productive and honored. Keep hydration &amp; comfortable meals.</t>
        </is>
      </c>
      <c r="K178" s="11" t="inlineStr">
        <is>
          <t>Hand on heart, deep peaceful breathing, soothing chamomile or warm water.</t>
        </is>
      </c>
      <c r="L178" s="11" t="inlineStr">
        <is>
          <t>Optional gentle stroll around room if desired, never mandatory.</t>
        </is>
      </c>
      <c r="M178" s="11" t="inlineStr">
        <is>
          <t>N/A (Scheduled Rest Day)</t>
        </is>
      </c>
    </row>
    <row r="179" ht="32" customHeight="1">
      <c r="A179" s="10" t="inlineStr">
        <is>
          <t>2027-04-19</t>
        </is>
      </c>
      <c r="B179" s="10" t="n">
        <v>178</v>
      </c>
      <c r="C179" s="10" t="inlineStr">
        <is>
          <t>Monday</t>
        </is>
      </c>
      <c r="D179" s="14" t="inlineStr">
        <is>
          <t>ZUMBA SESSION</t>
        </is>
      </c>
      <c r="E179" s="11" t="inlineStr">
        <is>
          <t>25-Min Radiant Celebration Zumba Masterclass</t>
        </is>
      </c>
      <c r="F179" s="12" t="n">
        <v>25</v>
      </c>
      <c r="G179" s="12" t="n">
        <v>200</v>
      </c>
      <c r="H179" s="11" t="inlineStr">
        <is>
          <t>Masterclass Dance Party</t>
        </is>
      </c>
      <c r="I179" s="11" t="inlineStr">
        <is>
          <t>3 minutes energetic groove warm-up. You are vibrant, strong, and confident! Celebrate your 240-day transformation with joyful dance.</t>
        </is>
      </c>
      <c r="J179" s="11" t="inlineStr">
        <is>
          <t>Full Fiesta Groove (8 mins) • Bollywood Anthem Dance (8 mins) • Latin Salsa Carnival (9 mins)</t>
        </is>
      </c>
      <c r="K179" s="11" t="inlineStr">
        <is>
          <t>3 minutes graceful gratitude dance cool-down.</t>
        </is>
      </c>
      <c r="L179" s="11" t="inlineStr">
        <is>
          <t>Take sips of water whenever thirsty and enjoy every song.</t>
        </is>
      </c>
      <c r="M179" s="11" t="inlineStr">
        <is>
          <t>https://www.youtube.com/results?search_query=25+minute+zumba+dance+workout+total+body+fitness</t>
        </is>
      </c>
    </row>
    <row r="180" ht="32" customHeight="1">
      <c r="A180" s="10" t="inlineStr">
        <is>
          <t>2027-04-20</t>
        </is>
      </c>
      <c r="B180" s="10" t="n">
        <v>179</v>
      </c>
      <c r="C180" s="10" t="inlineStr">
        <is>
          <t>Tuesday</t>
        </is>
      </c>
      <c r="D180" s="14" t="inlineStr">
        <is>
          <t>ZUMBA SESSION</t>
        </is>
      </c>
      <c r="E180" s="11" t="inlineStr">
        <is>
          <t>20-Min Full Body Zumba Fiesta &amp; Core Tone</t>
        </is>
      </c>
      <c r="F180" s="12" t="n">
        <v>20</v>
      </c>
      <c r="G180" s="12" t="n">
        <v>155</v>
      </c>
      <c r="H180" s="11" t="inlineStr">
        <is>
          <t>Zumba Fiesta &amp; Tone</t>
        </is>
      </c>
      <c r="I180" s="11" t="inlineStr">
        <is>
          <t>3 minutes dynamic dance warm-up. Full body dance rhythm that naturally engages your core, tones waist, and boosts endurance effortlessly.</t>
        </is>
      </c>
      <c r="J180" s="11" t="inlineStr">
        <is>
          <t>Cumbia Two-Step &amp; Pump (5 mins) • Bollywood Desi Thumka (5 mins) • Salsa Double Step (5 mins) • Samba Shimmy &amp; Reach (5 mins)</t>
        </is>
      </c>
      <c r="K180" s="11" t="inlineStr">
        <is>
          <t>3 minutes slow waltz flow and full body stretch.</t>
        </is>
      </c>
      <c r="L180" s="11" t="inlineStr">
        <is>
          <t>Omit quick pivots; maintain simple two-step touch.</t>
        </is>
      </c>
      <c r="M180" s="11" t="inlineStr">
        <is>
          <t>https://www.youtube.com/results?search_query=20+minute+zumba+dance+party+at+home+sweat+and+smile</t>
        </is>
      </c>
    </row>
    <row r="181" ht="32" customHeight="1">
      <c r="A181" s="10" t="inlineStr">
        <is>
          <t>2027-04-21</t>
        </is>
      </c>
      <c r="B181" s="10" t="n">
        <v>180</v>
      </c>
      <c r="C181" s="10" t="inlineStr">
        <is>
          <t>Wednesday</t>
        </is>
      </c>
      <c r="D181" s="13" t="inlineStr">
        <is>
          <t>REST DAY</t>
        </is>
      </c>
      <c r="E181" s="11" t="inlineStr">
        <is>
          <t>REST DAY — Rest, Recover &amp; Nourish ❤️</t>
        </is>
      </c>
      <c r="F181" s="12" t="n">
        <v>0</v>
      </c>
      <c r="G181" s="12" t="n">
        <v>0</v>
      </c>
      <c r="H181" s="11" t="inlineStr">
        <is>
          <t>Restorative Rest</t>
        </is>
      </c>
      <c r="I181" s="11" t="inlineStr">
        <is>
          <t>Scheduled REST DAY (Wednesday) — Muscle recovery, sleep &amp; nervous system rest. Zero workout pressure! ❤️</t>
        </is>
      </c>
      <c r="J181" s="11" t="inlineStr">
        <is>
          <t>Zero workout assigned. Rest is 100% productive and honored. Keep hydration &amp; comfortable meals.</t>
        </is>
      </c>
      <c r="K181" s="11" t="inlineStr">
        <is>
          <t>Hand on heart, deep peaceful breathing, soothing chamomile or warm water.</t>
        </is>
      </c>
      <c r="L181" s="11" t="inlineStr">
        <is>
          <t>Optional gentle stroll around room if desired, never mandatory.</t>
        </is>
      </c>
      <c r="M181" s="11" t="inlineStr">
        <is>
          <t>N/A (Scheduled Rest Day)</t>
        </is>
      </c>
    </row>
    <row r="182" ht="32" customHeight="1">
      <c r="A182" s="10" t="inlineStr">
        <is>
          <t>2027-04-22</t>
        </is>
      </c>
      <c r="B182" s="10" t="n">
        <v>181</v>
      </c>
      <c r="C182" s="10" t="inlineStr">
        <is>
          <t>Thursday</t>
        </is>
      </c>
      <c r="D182" s="14" t="inlineStr">
        <is>
          <t>ZUMBA SESSION</t>
        </is>
      </c>
      <c r="E182" s="11" t="inlineStr">
        <is>
          <t>25-Min Radiant Celebration Zumba Masterclass</t>
        </is>
      </c>
      <c r="F182" s="12" t="n">
        <v>25</v>
      </c>
      <c r="G182" s="12" t="n">
        <v>200</v>
      </c>
      <c r="H182" s="11" t="inlineStr">
        <is>
          <t>Masterclass Dance Party</t>
        </is>
      </c>
      <c r="I182" s="11" t="inlineStr">
        <is>
          <t>3 minutes energetic groove warm-up. You are vibrant, strong, and confident! Celebrate your 240-day transformation with joyful dance.</t>
        </is>
      </c>
      <c r="J182" s="11" t="inlineStr">
        <is>
          <t>Full Fiesta Groove (8 mins) • Bollywood Anthem Dance (8 mins) • Latin Salsa Carnival (9 mins)</t>
        </is>
      </c>
      <c r="K182" s="11" t="inlineStr">
        <is>
          <t>3 minutes graceful gratitude dance cool-down.</t>
        </is>
      </c>
      <c r="L182" s="11" t="inlineStr">
        <is>
          <t>Take sips of water whenever thirsty and enjoy every song.</t>
        </is>
      </c>
      <c r="M182" s="11" t="inlineStr">
        <is>
          <t>https://www.youtube.com/results?search_query=25+minute+zumba+dance+workout+total+body+fitness</t>
        </is>
      </c>
    </row>
    <row r="183" ht="32" customHeight="1">
      <c r="A183" s="10" t="inlineStr">
        <is>
          <t>2027-04-23</t>
        </is>
      </c>
      <c r="B183" s="10" t="n">
        <v>182</v>
      </c>
      <c r="C183" s="10" t="inlineStr">
        <is>
          <t>Friday</t>
        </is>
      </c>
      <c r="D183" s="14" t="inlineStr">
        <is>
          <t>ZUMBA SESSION</t>
        </is>
      </c>
      <c r="E183" s="11" t="inlineStr">
        <is>
          <t>20-Min Full Body Zumba Fiesta &amp; Core Tone</t>
        </is>
      </c>
      <c r="F183" s="12" t="n">
        <v>20</v>
      </c>
      <c r="G183" s="12" t="n">
        <v>155</v>
      </c>
      <c r="H183" s="11" t="inlineStr">
        <is>
          <t>Zumba Fiesta &amp; Tone</t>
        </is>
      </c>
      <c r="I183" s="11" t="inlineStr">
        <is>
          <t>3 minutes dynamic dance warm-up. Full body dance rhythm that naturally engages your core, tones waist, and boosts endurance effortlessly.</t>
        </is>
      </c>
      <c r="J183" s="11" t="inlineStr">
        <is>
          <t>Cumbia Two-Step &amp; Pump (5 mins) • Bollywood Desi Thumka (5 mins) • Salsa Double Step (5 mins) • Samba Shimmy &amp; Reach (5 mins)</t>
        </is>
      </c>
      <c r="K183" s="11" t="inlineStr">
        <is>
          <t>3 minutes slow waltz flow and full body stretch.</t>
        </is>
      </c>
      <c r="L183" s="11" t="inlineStr">
        <is>
          <t>Omit quick pivots; maintain simple two-step touch.</t>
        </is>
      </c>
      <c r="M183" s="11" t="inlineStr">
        <is>
          <t>https://www.youtube.com/results?search_query=20+minute+zumba+dance+party+at+home+sweat+and+smile</t>
        </is>
      </c>
    </row>
    <row r="184" ht="32" customHeight="1">
      <c r="A184" s="10" t="inlineStr">
        <is>
          <t>2027-04-24</t>
        </is>
      </c>
      <c r="B184" s="10" t="n">
        <v>183</v>
      </c>
      <c r="C184" s="10" t="inlineStr">
        <is>
          <t>Saturday</t>
        </is>
      </c>
      <c r="D184" s="13" t="inlineStr">
        <is>
          <t>REST DAY</t>
        </is>
      </c>
      <c r="E184" s="11" t="inlineStr">
        <is>
          <t>REST DAY — Rest, Recover &amp; Nourish ❤️</t>
        </is>
      </c>
      <c r="F184" s="12" t="n">
        <v>0</v>
      </c>
      <c r="G184" s="12" t="n">
        <v>0</v>
      </c>
      <c r="H184" s="11" t="inlineStr">
        <is>
          <t>Restorative Rest</t>
        </is>
      </c>
      <c r="I184" s="11" t="inlineStr">
        <is>
          <t>Scheduled REST DAY (Saturday) — Muscle recovery, sleep &amp; nervous system rest. Zero workout pressure! ❤️</t>
        </is>
      </c>
      <c r="J184" s="11" t="inlineStr">
        <is>
          <t>Zero workout assigned. Rest is 100% productive and honored. Keep hydration &amp; comfortable meals.</t>
        </is>
      </c>
      <c r="K184" s="11" t="inlineStr">
        <is>
          <t>Hand on heart, deep peaceful breathing, soothing chamomile or warm water.</t>
        </is>
      </c>
      <c r="L184" s="11" t="inlineStr">
        <is>
          <t>Optional gentle stroll around room if desired, never mandatory.</t>
        </is>
      </c>
      <c r="M184" s="11" t="inlineStr">
        <is>
          <t>N/A (Scheduled Rest Day)</t>
        </is>
      </c>
    </row>
    <row r="185" ht="32" customHeight="1">
      <c r="A185" s="10" t="inlineStr">
        <is>
          <t>2027-04-25</t>
        </is>
      </c>
      <c r="B185" s="10" t="n">
        <v>184</v>
      </c>
      <c r="C185" s="10" t="inlineStr">
        <is>
          <t>Sunday</t>
        </is>
      </c>
      <c r="D185" s="13" t="inlineStr">
        <is>
          <t>REST DAY</t>
        </is>
      </c>
      <c r="E185" s="11" t="inlineStr">
        <is>
          <t>REST DAY — Rest, Recover &amp; Nourish ❤️</t>
        </is>
      </c>
      <c r="F185" s="12" t="n">
        <v>0</v>
      </c>
      <c r="G185" s="12" t="n">
        <v>0</v>
      </c>
      <c r="H185" s="11" t="inlineStr">
        <is>
          <t>Restorative Rest</t>
        </is>
      </c>
      <c r="I185" s="11" t="inlineStr">
        <is>
          <t>Scheduled REST DAY (Sunday) — Muscle recovery, sleep &amp; nervous system rest. Zero workout pressure! ❤️</t>
        </is>
      </c>
      <c r="J185" s="11" t="inlineStr">
        <is>
          <t>Zero workout assigned. Rest is 100% productive and honored. Keep hydration &amp; comfortable meals.</t>
        </is>
      </c>
      <c r="K185" s="11" t="inlineStr">
        <is>
          <t>Hand on heart, deep peaceful breathing, soothing chamomile or warm water.</t>
        </is>
      </c>
      <c r="L185" s="11" t="inlineStr">
        <is>
          <t>Optional gentle stroll around room if desired, never mandatory.</t>
        </is>
      </c>
      <c r="M185" s="11" t="inlineStr">
        <is>
          <t>N/A (Scheduled Rest Day)</t>
        </is>
      </c>
    </row>
    <row r="186" ht="32" customHeight="1">
      <c r="A186" s="10" t="inlineStr">
        <is>
          <t>2027-04-26</t>
        </is>
      </c>
      <c r="B186" s="10" t="n">
        <v>185</v>
      </c>
      <c r="C186" s="10" t="inlineStr">
        <is>
          <t>Monday</t>
        </is>
      </c>
      <c r="D186" s="14" t="inlineStr">
        <is>
          <t>ZUMBA SESSION</t>
        </is>
      </c>
      <c r="E186" s="11" t="inlineStr">
        <is>
          <t>25-Min Radiant Celebration Zumba Masterclass</t>
        </is>
      </c>
      <c r="F186" s="12" t="n">
        <v>25</v>
      </c>
      <c r="G186" s="12" t="n">
        <v>200</v>
      </c>
      <c r="H186" s="11" t="inlineStr">
        <is>
          <t>Masterclass Dance Party</t>
        </is>
      </c>
      <c r="I186" s="11" t="inlineStr">
        <is>
          <t>3 minutes energetic groove warm-up. You are vibrant, strong, and confident! Celebrate your 240-day transformation with joyful dance.</t>
        </is>
      </c>
      <c r="J186" s="11" t="inlineStr">
        <is>
          <t>Full Fiesta Groove (8 mins) • Bollywood Anthem Dance (8 mins) • Latin Salsa Carnival (9 mins)</t>
        </is>
      </c>
      <c r="K186" s="11" t="inlineStr">
        <is>
          <t>3 minutes graceful gratitude dance cool-down.</t>
        </is>
      </c>
      <c r="L186" s="11" t="inlineStr">
        <is>
          <t>Take sips of water whenever thirsty and enjoy every song.</t>
        </is>
      </c>
      <c r="M186" s="11" t="inlineStr">
        <is>
          <t>https://www.youtube.com/results?search_query=25+minute+zumba+dance+workout+total+body+fitness</t>
        </is>
      </c>
    </row>
    <row r="187" ht="32" customHeight="1">
      <c r="A187" s="10" t="inlineStr">
        <is>
          <t>2027-04-27</t>
        </is>
      </c>
      <c r="B187" s="10" t="n">
        <v>186</v>
      </c>
      <c r="C187" s="10" t="inlineStr">
        <is>
          <t>Tuesday</t>
        </is>
      </c>
      <c r="D187" s="14" t="inlineStr">
        <is>
          <t>ZUMBA SESSION</t>
        </is>
      </c>
      <c r="E187" s="11" t="inlineStr">
        <is>
          <t>20-Min Full Body Zumba Fiesta &amp; Core Tone</t>
        </is>
      </c>
      <c r="F187" s="12" t="n">
        <v>20</v>
      </c>
      <c r="G187" s="12" t="n">
        <v>155</v>
      </c>
      <c r="H187" s="11" t="inlineStr">
        <is>
          <t>Zumba Fiesta &amp; Tone</t>
        </is>
      </c>
      <c r="I187" s="11" t="inlineStr">
        <is>
          <t>3 minutes dynamic dance warm-up. Full body dance rhythm that naturally engages your core, tones waist, and boosts endurance effortlessly.</t>
        </is>
      </c>
      <c r="J187" s="11" t="inlineStr">
        <is>
          <t>Cumbia Two-Step &amp; Pump (5 mins) • Bollywood Desi Thumka (5 mins) • Salsa Double Step (5 mins) • Samba Shimmy &amp; Reach (5 mins)</t>
        </is>
      </c>
      <c r="K187" s="11" t="inlineStr">
        <is>
          <t>3 minutes slow waltz flow and full body stretch.</t>
        </is>
      </c>
      <c r="L187" s="11" t="inlineStr">
        <is>
          <t>Omit quick pivots; maintain simple two-step touch.</t>
        </is>
      </c>
      <c r="M187" s="11" t="inlineStr">
        <is>
          <t>https://www.youtube.com/results?search_query=20+minute+zumba+dance+party+at+home+sweat+and+smile</t>
        </is>
      </c>
    </row>
    <row r="188" ht="32" customHeight="1">
      <c r="A188" s="10" t="inlineStr">
        <is>
          <t>2027-04-28</t>
        </is>
      </c>
      <c r="B188" s="10" t="n">
        <v>187</v>
      </c>
      <c r="C188" s="10" t="inlineStr">
        <is>
          <t>Wednesday</t>
        </is>
      </c>
      <c r="D188" s="13" t="inlineStr">
        <is>
          <t>REST DAY</t>
        </is>
      </c>
      <c r="E188" s="11" t="inlineStr">
        <is>
          <t>REST DAY — Rest, Recover &amp; Nourish ❤️</t>
        </is>
      </c>
      <c r="F188" s="12" t="n">
        <v>0</v>
      </c>
      <c r="G188" s="12" t="n">
        <v>0</v>
      </c>
      <c r="H188" s="11" t="inlineStr">
        <is>
          <t>Restorative Rest</t>
        </is>
      </c>
      <c r="I188" s="11" t="inlineStr">
        <is>
          <t>Scheduled REST DAY (Wednesday) — Muscle recovery, sleep &amp; nervous system rest. Zero workout pressure! ❤️</t>
        </is>
      </c>
      <c r="J188" s="11" t="inlineStr">
        <is>
          <t>Zero workout assigned. Rest is 100% productive and honored. Keep hydration &amp; comfortable meals.</t>
        </is>
      </c>
      <c r="K188" s="11" t="inlineStr">
        <is>
          <t>Hand on heart, deep peaceful breathing, soothing chamomile or warm water.</t>
        </is>
      </c>
      <c r="L188" s="11" t="inlineStr">
        <is>
          <t>Optional gentle stroll around room if desired, never mandatory.</t>
        </is>
      </c>
      <c r="M188" s="11" t="inlineStr">
        <is>
          <t>N/A (Scheduled Rest Day)</t>
        </is>
      </c>
    </row>
    <row r="189" ht="32" customHeight="1">
      <c r="A189" s="10" t="inlineStr">
        <is>
          <t>2027-04-29</t>
        </is>
      </c>
      <c r="B189" s="10" t="n">
        <v>188</v>
      </c>
      <c r="C189" s="10" t="inlineStr">
        <is>
          <t>Thursday</t>
        </is>
      </c>
      <c r="D189" s="14" t="inlineStr">
        <is>
          <t>ZUMBA SESSION</t>
        </is>
      </c>
      <c r="E189" s="11" t="inlineStr">
        <is>
          <t>25-Min Radiant Celebration Zumba Masterclass</t>
        </is>
      </c>
      <c r="F189" s="12" t="n">
        <v>25</v>
      </c>
      <c r="G189" s="12" t="n">
        <v>200</v>
      </c>
      <c r="H189" s="11" t="inlineStr">
        <is>
          <t>Masterclass Dance Party</t>
        </is>
      </c>
      <c r="I189" s="11" t="inlineStr">
        <is>
          <t>3 minutes energetic groove warm-up. You are vibrant, strong, and confident! Celebrate your 240-day transformation with joyful dance.</t>
        </is>
      </c>
      <c r="J189" s="11" t="inlineStr">
        <is>
          <t>Full Fiesta Groove (8 mins) • Bollywood Anthem Dance (8 mins) • Latin Salsa Carnival (9 mins)</t>
        </is>
      </c>
      <c r="K189" s="11" t="inlineStr">
        <is>
          <t>3 minutes graceful gratitude dance cool-down.</t>
        </is>
      </c>
      <c r="L189" s="11" t="inlineStr">
        <is>
          <t>Take sips of water whenever thirsty and enjoy every song.</t>
        </is>
      </c>
      <c r="M189" s="11" t="inlineStr">
        <is>
          <t>https://www.youtube.com/results?search_query=25+minute+zumba+dance+workout+total+body+fitness</t>
        </is>
      </c>
    </row>
    <row r="190" ht="32" customHeight="1">
      <c r="A190" s="10" t="inlineStr">
        <is>
          <t>2027-04-30</t>
        </is>
      </c>
      <c r="B190" s="10" t="n">
        <v>189</v>
      </c>
      <c r="C190" s="10" t="inlineStr">
        <is>
          <t>Friday</t>
        </is>
      </c>
      <c r="D190" s="14" t="inlineStr">
        <is>
          <t>ZUMBA SESSION</t>
        </is>
      </c>
      <c r="E190" s="11" t="inlineStr">
        <is>
          <t>20-Min Full Body Zumba Fiesta &amp; Core Tone</t>
        </is>
      </c>
      <c r="F190" s="12" t="n">
        <v>20</v>
      </c>
      <c r="G190" s="12" t="n">
        <v>155</v>
      </c>
      <c r="H190" s="11" t="inlineStr">
        <is>
          <t>Zumba Fiesta &amp; Tone</t>
        </is>
      </c>
      <c r="I190" s="11" t="inlineStr">
        <is>
          <t>3 minutes dynamic dance warm-up. Full body dance rhythm that naturally engages your core, tones waist, and boosts endurance effortlessly.</t>
        </is>
      </c>
      <c r="J190" s="11" t="inlineStr">
        <is>
          <t>Cumbia Two-Step &amp; Pump (5 mins) • Bollywood Desi Thumka (5 mins) • Salsa Double Step (5 mins) • Samba Shimmy &amp; Reach (5 mins)</t>
        </is>
      </c>
      <c r="K190" s="11" t="inlineStr">
        <is>
          <t>3 minutes slow waltz flow and full body stretch.</t>
        </is>
      </c>
      <c r="L190" s="11" t="inlineStr">
        <is>
          <t>Omit quick pivots; maintain simple two-step touch.</t>
        </is>
      </c>
      <c r="M190" s="11" t="inlineStr">
        <is>
          <t>https://www.youtube.com/results?search_query=20+minute+zumba+dance+party+at+home+sweat+and+smile</t>
        </is>
      </c>
    </row>
    <row r="191" ht="32" customHeight="1">
      <c r="A191" s="10" t="inlineStr">
        <is>
          <t>2027-05-01</t>
        </is>
      </c>
      <c r="B191" s="10" t="n">
        <v>190</v>
      </c>
      <c r="C191" s="10" t="inlineStr">
        <is>
          <t>Saturday</t>
        </is>
      </c>
      <c r="D191" s="13" t="inlineStr">
        <is>
          <t>REST DAY</t>
        </is>
      </c>
      <c r="E191" s="11" t="inlineStr">
        <is>
          <t>REST DAY — Rest, Recover &amp; Nourish ❤️</t>
        </is>
      </c>
      <c r="F191" s="12" t="n">
        <v>0</v>
      </c>
      <c r="G191" s="12" t="n">
        <v>0</v>
      </c>
      <c r="H191" s="11" t="inlineStr">
        <is>
          <t>Restorative Rest</t>
        </is>
      </c>
      <c r="I191" s="11" t="inlineStr">
        <is>
          <t>Scheduled REST DAY (Saturday) — Muscle recovery, sleep &amp; nervous system rest. Zero workout pressure! ❤️</t>
        </is>
      </c>
      <c r="J191" s="11" t="inlineStr">
        <is>
          <t>Zero workout assigned. Rest is 100% productive and honored. Keep hydration &amp; comfortable meals.</t>
        </is>
      </c>
      <c r="K191" s="11" t="inlineStr">
        <is>
          <t>Hand on heart, deep peaceful breathing, soothing chamomile or warm water.</t>
        </is>
      </c>
      <c r="L191" s="11" t="inlineStr">
        <is>
          <t>Optional gentle stroll around room if desired, never mandatory.</t>
        </is>
      </c>
      <c r="M191" s="11" t="inlineStr">
        <is>
          <t>N/A (Scheduled Rest Day)</t>
        </is>
      </c>
    </row>
    <row r="192" ht="32" customHeight="1">
      <c r="A192" s="10" t="inlineStr">
        <is>
          <t>2027-05-02</t>
        </is>
      </c>
      <c r="B192" s="10" t="n">
        <v>191</v>
      </c>
      <c r="C192" s="10" t="inlineStr">
        <is>
          <t>Sunday</t>
        </is>
      </c>
      <c r="D192" s="13" t="inlineStr">
        <is>
          <t>REST DAY</t>
        </is>
      </c>
      <c r="E192" s="11" t="inlineStr">
        <is>
          <t>REST DAY — Rest, Recover &amp; Nourish ❤️</t>
        </is>
      </c>
      <c r="F192" s="12" t="n">
        <v>0</v>
      </c>
      <c r="G192" s="12" t="n">
        <v>0</v>
      </c>
      <c r="H192" s="11" t="inlineStr">
        <is>
          <t>Restorative Rest</t>
        </is>
      </c>
      <c r="I192" s="11" t="inlineStr">
        <is>
          <t>Scheduled REST DAY (Sunday) — Muscle recovery, sleep &amp; nervous system rest. Zero workout pressure! ❤️</t>
        </is>
      </c>
      <c r="J192" s="11" t="inlineStr">
        <is>
          <t>Zero workout assigned. Rest is 100% productive and honored. Keep hydration &amp; comfortable meals.</t>
        </is>
      </c>
      <c r="K192" s="11" t="inlineStr">
        <is>
          <t>Hand on heart, deep peaceful breathing, soothing chamomile or warm water.</t>
        </is>
      </c>
      <c r="L192" s="11" t="inlineStr">
        <is>
          <t>Optional gentle stroll around room if desired, never mandatory.</t>
        </is>
      </c>
      <c r="M192" s="11" t="inlineStr">
        <is>
          <t>N/A (Scheduled Rest Day)</t>
        </is>
      </c>
    </row>
    <row r="193" ht="32" customHeight="1">
      <c r="A193" s="10" t="inlineStr">
        <is>
          <t>2027-05-03</t>
        </is>
      </c>
      <c r="B193" s="10" t="n">
        <v>192</v>
      </c>
      <c r="C193" s="10" t="inlineStr">
        <is>
          <t>Monday</t>
        </is>
      </c>
      <c r="D193" s="14" t="inlineStr">
        <is>
          <t>ZUMBA SESSION</t>
        </is>
      </c>
      <c r="E193" s="11" t="inlineStr">
        <is>
          <t>25-Min Radiant Celebration Zumba Masterclass</t>
        </is>
      </c>
      <c r="F193" s="12" t="n">
        <v>25</v>
      </c>
      <c r="G193" s="12" t="n">
        <v>200</v>
      </c>
      <c r="H193" s="11" t="inlineStr">
        <is>
          <t>Masterclass Dance Party</t>
        </is>
      </c>
      <c r="I193" s="11" t="inlineStr">
        <is>
          <t>3 minutes energetic groove warm-up. You are vibrant, strong, and confident! Celebrate your 240-day transformation with joyful dance.</t>
        </is>
      </c>
      <c r="J193" s="11" t="inlineStr">
        <is>
          <t>Full Fiesta Groove (8 mins) • Bollywood Anthem Dance (8 mins) • Latin Salsa Carnival (9 mins)</t>
        </is>
      </c>
      <c r="K193" s="11" t="inlineStr">
        <is>
          <t>3 minutes graceful gratitude dance cool-down.</t>
        </is>
      </c>
      <c r="L193" s="11" t="inlineStr">
        <is>
          <t>Take sips of water whenever thirsty and enjoy every song.</t>
        </is>
      </c>
      <c r="M193" s="11" t="inlineStr">
        <is>
          <t>https://www.youtube.com/results?search_query=25+minute+zumba+dance+workout+total+body+fitness</t>
        </is>
      </c>
    </row>
    <row r="194" ht="32" customHeight="1">
      <c r="A194" s="10" t="inlineStr">
        <is>
          <t>2027-05-04</t>
        </is>
      </c>
      <c r="B194" s="10" t="n">
        <v>193</v>
      </c>
      <c r="C194" s="10" t="inlineStr">
        <is>
          <t>Tuesday</t>
        </is>
      </c>
      <c r="D194" s="14" t="inlineStr">
        <is>
          <t>ZUMBA SESSION</t>
        </is>
      </c>
      <c r="E194" s="11" t="inlineStr">
        <is>
          <t>20-Min Full Body Zumba Fiesta &amp; Core Tone</t>
        </is>
      </c>
      <c r="F194" s="12" t="n">
        <v>20</v>
      </c>
      <c r="G194" s="12" t="n">
        <v>155</v>
      </c>
      <c r="H194" s="11" t="inlineStr">
        <is>
          <t>Zumba Fiesta &amp; Tone</t>
        </is>
      </c>
      <c r="I194" s="11" t="inlineStr">
        <is>
          <t>3 minutes dynamic dance warm-up. Full body dance rhythm that naturally engages your core, tones waist, and boosts endurance effortlessly.</t>
        </is>
      </c>
      <c r="J194" s="11" t="inlineStr">
        <is>
          <t>Cumbia Two-Step &amp; Pump (5 mins) • Bollywood Desi Thumka (5 mins) • Salsa Double Step (5 mins) • Samba Shimmy &amp; Reach (5 mins)</t>
        </is>
      </c>
      <c r="K194" s="11" t="inlineStr">
        <is>
          <t>3 minutes slow waltz flow and full body stretch.</t>
        </is>
      </c>
      <c r="L194" s="11" t="inlineStr">
        <is>
          <t>Omit quick pivots; maintain simple two-step touch.</t>
        </is>
      </c>
      <c r="M194" s="11" t="inlineStr">
        <is>
          <t>https://www.youtube.com/results?search_query=20+minute+zumba+dance+party+at+home+sweat+and+smile</t>
        </is>
      </c>
    </row>
    <row r="195" ht="32" customHeight="1">
      <c r="A195" s="10" t="inlineStr">
        <is>
          <t>2027-05-05</t>
        </is>
      </c>
      <c r="B195" s="10" t="n">
        <v>194</v>
      </c>
      <c r="C195" s="10" t="inlineStr">
        <is>
          <t>Wednesday</t>
        </is>
      </c>
      <c r="D195" s="13" t="inlineStr">
        <is>
          <t>REST DAY</t>
        </is>
      </c>
      <c r="E195" s="11" t="inlineStr">
        <is>
          <t>REST DAY — Rest, Recover &amp; Nourish ❤️</t>
        </is>
      </c>
      <c r="F195" s="12" t="n">
        <v>0</v>
      </c>
      <c r="G195" s="12" t="n">
        <v>0</v>
      </c>
      <c r="H195" s="11" t="inlineStr">
        <is>
          <t>Restorative Rest</t>
        </is>
      </c>
      <c r="I195" s="11" t="inlineStr">
        <is>
          <t>Scheduled REST DAY (Wednesday) — Muscle recovery, sleep &amp; nervous system rest. Zero workout pressure! ❤️</t>
        </is>
      </c>
      <c r="J195" s="11" t="inlineStr">
        <is>
          <t>Zero workout assigned. Rest is 100% productive and honored. Keep hydration &amp; comfortable meals.</t>
        </is>
      </c>
      <c r="K195" s="11" t="inlineStr">
        <is>
          <t>Hand on heart, deep peaceful breathing, soothing chamomile or warm water.</t>
        </is>
      </c>
      <c r="L195" s="11" t="inlineStr">
        <is>
          <t>Optional gentle stroll around room if desired, never mandatory.</t>
        </is>
      </c>
      <c r="M195" s="11" t="inlineStr">
        <is>
          <t>N/A (Scheduled Rest Day)</t>
        </is>
      </c>
    </row>
    <row r="196" ht="32" customHeight="1">
      <c r="A196" s="10" t="inlineStr">
        <is>
          <t>2027-05-06</t>
        </is>
      </c>
      <c r="B196" s="10" t="n">
        <v>195</v>
      </c>
      <c r="C196" s="10" t="inlineStr">
        <is>
          <t>Thursday</t>
        </is>
      </c>
      <c r="D196" s="14" t="inlineStr">
        <is>
          <t>ZUMBA SESSION</t>
        </is>
      </c>
      <c r="E196" s="11" t="inlineStr">
        <is>
          <t>25-Min Radiant Celebration Zumba Masterclass</t>
        </is>
      </c>
      <c r="F196" s="12" t="n">
        <v>25</v>
      </c>
      <c r="G196" s="12" t="n">
        <v>200</v>
      </c>
      <c r="H196" s="11" t="inlineStr">
        <is>
          <t>Masterclass Dance Party</t>
        </is>
      </c>
      <c r="I196" s="11" t="inlineStr">
        <is>
          <t>3 minutes energetic groove warm-up. You are vibrant, strong, and confident! Celebrate your 240-day transformation with joyful dance.</t>
        </is>
      </c>
      <c r="J196" s="11" t="inlineStr">
        <is>
          <t>Full Fiesta Groove (8 mins) • Bollywood Anthem Dance (8 mins) • Latin Salsa Carnival (9 mins)</t>
        </is>
      </c>
      <c r="K196" s="11" t="inlineStr">
        <is>
          <t>3 minutes graceful gratitude dance cool-down.</t>
        </is>
      </c>
      <c r="L196" s="11" t="inlineStr">
        <is>
          <t>Take sips of water whenever thirsty and enjoy every song.</t>
        </is>
      </c>
      <c r="M196" s="11" t="inlineStr">
        <is>
          <t>https://www.youtube.com/results?search_query=25+minute+zumba+dance+workout+total+body+fitness</t>
        </is>
      </c>
    </row>
    <row r="197" ht="32" customHeight="1">
      <c r="A197" s="10" t="inlineStr">
        <is>
          <t>2027-05-07</t>
        </is>
      </c>
      <c r="B197" s="10" t="n">
        <v>196</v>
      </c>
      <c r="C197" s="10" t="inlineStr">
        <is>
          <t>Friday</t>
        </is>
      </c>
      <c r="D197" s="14" t="inlineStr">
        <is>
          <t>ZUMBA SESSION</t>
        </is>
      </c>
      <c r="E197" s="11" t="inlineStr">
        <is>
          <t>20-Min Full Body Zumba Fiesta &amp; Core Tone</t>
        </is>
      </c>
      <c r="F197" s="12" t="n">
        <v>20</v>
      </c>
      <c r="G197" s="12" t="n">
        <v>155</v>
      </c>
      <c r="H197" s="11" t="inlineStr">
        <is>
          <t>Zumba Fiesta &amp; Tone</t>
        </is>
      </c>
      <c r="I197" s="11" t="inlineStr">
        <is>
          <t>3 minutes dynamic dance warm-up. Full body dance rhythm that naturally engages your core, tones waist, and boosts endurance effortlessly.</t>
        </is>
      </c>
      <c r="J197" s="11" t="inlineStr">
        <is>
          <t>Cumbia Two-Step &amp; Pump (5 mins) • Bollywood Desi Thumka (5 mins) • Salsa Double Step (5 mins) • Samba Shimmy &amp; Reach (5 mins)</t>
        </is>
      </c>
      <c r="K197" s="11" t="inlineStr">
        <is>
          <t>3 minutes slow waltz flow and full body stretch.</t>
        </is>
      </c>
      <c r="L197" s="11" t="inlineStr">
        <is>
          <t>Omit quick pivots; maintain simple two-step touch.</t>
        </is>
      </c>
      <c r="M197" s="11" t="inlineStr">
        <is>
          <t>https://www.youtube.com/results?search_query=20+minute+zumba+dance+party+at+home+sweat+and+smile</t>
        </is>
      </c>
    </row>
    <row r="198" ht="32" customHeight="1">
      <c r="A198" s="10" t="inlineStr">
        <is>
          <t>2027-05-08</t>
        </is>
      </c>
      <c r="B198" s="10" t="n">
        <v>197</v>
      </c>
      <c r="C198" s="10" t="inlineStr">
        <is>
          <t>Saturday</t>
        </is>
      </c>
      <c r="D198" s="13" t="inlineStr">
        <is>
          <t>REST DAY</t>
        </is>
      </c>
      <c r="E198" s="11" t="inlineStr">
        <is>
          <t>REST DAY — Rest, Recover &amp; Nourish ❤️</t>
        </is>
      </c>
      <c r="F198" s="12" t="n">
        <v>0</v>
      </c>
      <c r="G198" s="12" t="n">
        <v>0</v>
      </c>
      <c r="H198" s="11" t="inlineStr">
        <is>
          <t>Restorative Rest</t>
        </is>
      </c>
      <c r="I198" s="11" t="inlineStr">
        <is>
          <t>Scheduled REST DAY (Saturday) — Muscle recovery, sleep &amp; nervous system rest. Zero workout pressure! ❤️</t>
        </is>
      </c>
      <c r="J198" s="11" t="inlineStr">
        <is>
          <t>Zero workout assigned. Rest is 100% productive and honored. Keep hydration &amp; comfortable meals.</t>
        </is>
      </c>
      <c r="K198" s="11" t="inlineStr">
        <is>
          <t>Hand on heart, deep peaceful breathing, soothing chamomile or warm water.</t>
        </is>
      </c>
      <c r="L198" s="11" t="inlineStr">
        <is>
          <t>Optional gentle stroll around room if desired, never mandatory.</t>
        </is>
      </c>
      <c r="M198" s="11" t="inlineStr">
        <is>
          <t>N/A (Scheduled Rest Day)</t>
        </is>
      </c>
    </row>
    <row r="199" ht="32" customHeight="1">
      <c r="A199" s="10" t="inlineStr">
        <is>
          <t>2027-05-09</t>
        </is>
      </c>
      <c r="B199" s="10" t="n">
        <v>198</v>
      </c>
      <c r="C199" s="10" t="inlineStr">
        <is>
          <t>Sunday</t>
        </is>
      </c>
      <c r="D199" s="13" t="inlineStr">
        <is>
          <t>REST DAY</t>
        </is>
      </c>
      <c r="E199" s="11" t="inlineStr">
        <is>
          <t>REST DAY — Rest, Recover &amp; Nourish ❤️</t>
        </is>
      </c>
      <c r="F199" s="12" t="n">
        <v>0</v>
      </c>
      <c r="G199" s="12" t="n">
        <v>0</v>
      </c>
      <c r="H199" s="11" t="inlineStr">
        <is>
          <t>Restorative Rest</t>
        </is>
      </c>
      <c r="I199" s="11" t="inlineStr">
        <is>
          <t>Scheduled REST DAY (Sunday) — Muscle recovery, sleep &amp; nervous system rest. Zero workout pressure! ❤️</t>
        </is>
      </c>
      <c r="J199" s="11" t="inlineStr">
        <is>
          <t>Zero workout assigned. Rest is 100% productive and honored. Keep hydration &amp; comfortable meals.</t>
        </is>
      </c>
      <c r="K199" s="11" t="inlineStr">
        <is>
          <t>Hand on heart, deep peaceful breathing, soothing chamomile or warm water.</t>
        </is>
      </c>
      <c r="L199" s="11" t="inlineStr">
        <is>
          <t>Optional gentle stroll around room if desired, never mandatory.</t>
        </is>
      </c>
      <c r="M199" s="11" t="inlineStr">
        <is>
          <t>N/A (Scheduled Rest Day)</t>
        </is>
      </c>
    </row>
    <row r="200" ht="32" customHeight="1">
      <c r="A200" s="10" t="inlineStr">
        <is>
          <t>2027-05-10</t>
        </is>
      </c>
      <c r="B200" s="10" t="n">
        <v>199</v>
      </c>
      <c r="C200" s="10" t="inlineStr">
        <is>
          <t>Monday</t>
        </is>
      </c>
      <c r="D200" s="14" t="inlineStr">
        <is>
          <t>ZUMBA SESSION</t>
        </is>
      </c>
      <c r="E200" s="11" t="inlineStr">
        <is>
          <t>25-Min Radiant Celebration Zumba Masterclass</t>
        </is>
      </c>
      <c r="F200" s="12" t="n">
        <v>25</v>
      </c>
      <c r="G200" s="12" t="n">
        <v>200</v>
      </c>
      <c r="H200" s="11" t="inlineStr">
        <is>
          <t>Masterclass Dance Party</t>
        </is>
      </c>
      <c r="I200" s="11" t="inlineStr">
        <is>
          <t>3 minutes energetic groove warm-up. You are vibrant, strong, and confident! Celebrate your 240-day transformation with joyful dance.</t>
        </is>
      </c>
      <c r="J200" s="11" t="inlineStr">
        <is>
          <t>Full Fiesta Groove (8 mins) • Bollywood Anthem Dance (8 mins) • Latin Salsa Carnival (9 mins)</t>
        </is>
      </c>
      <c r="K200" s="11" t="inlineStr">
        <is>
          <t>3 minutes graceful gratitude dance cool-down.</t>
        </is>
      </c>
      <c r="L200" s="11" t="inlineStr">
        <is>
          <t>Take sips of water whenever thirsty and enjoy every song.</t>
        </is>
      </c>
      <c r="M200" s="11" t="inlineStr">
        <is>
          <t>https://www.youtube.com/results?search_query=25+minute+zumba+dance+workout+total+body+fitness</t>
        </is>
      </c>
    </row>
    <row r="201" ht="32" customHeight="1">
      <c r="A201" s="10" t="inlineStr">
        <is>
          <t>2027-05-11</t>
        </is>
      </c>
      <c r="B201" s="10" t="n">
        <v>200</v>
      </c>
      <c r="C201" s="10" t="inlineStr">
        <is>
          <t>Tuesday</t>
        </is>
      </c>
      <c r="D201" s="14" t="inlineStr">
        <is>
          <t>ZUMBA SESSION</t>
        </is>
      </c>
      <c r="E201" s="11" t="inlineStr">
        <is>
          <t>20-Min Full Body Zumba Fiesta &amp; Core Tone</t>
        </is>
      </c>
      <c r="F201" s="12" t="n">
        <v>20</v>
      </c>
      <c r="G201" s="12" t="n">
        <v>155</v>
      </c>
      <c r="H201" s="11" t="inlineStr">
        <is>
          <t>Zumba Fiesta &amp; Tone</t>
        </is>
      </c>
      <c r="I201" s="11" t="inlineStr">
        <is>
          <t>3 minutes dynamic dance warm-up. Full body dance rhythm that naturally engages your core, tones waist, and boosts endurance effortlessly.</t>
        </is>
      </c>
      <c r="J201" s="11" t="inlineStr">
        <is>
          <t>Cumbia Two-Step &amp; Pump (5 mins) • Bollywood Desi Thumka (5 mins) • Salsa Double Step (5 mins) • Samba Shimmy &amp; Reach (5 mins)</t>
        </is>
      </c>
      <c r="K201" s="11" t="inlineStr">
        <is>
          <t>3 minutes slow waltz flow and full body stretch.</t>
        </is>
      </c>
      <c r="L201" s="11" t="inlineStr">
        <is>
          <t>Omit quick pivots; maintain simple two-step touch.</t>
        </is>
      </c>
      <c r="M201" s="11" t="inlineStr">
        <is>
          <t>https://www.youtube.com/results?search_query=20+minute+zumba+dance+party+at+home+sweat+and+smile</t>
        </is>
      </c>
    </row>
    <row r="202" ht="32" customHeight="1">
      <c r="A202" s="10" t="inlineStr">
        <is>
          <t>2027-05-12</t>
        </is>
      </c>
      <c r="B202" s="10" t="n">
        <v>201</v>
      </c>
      <c r="C202" s="10" t="inlineStr">
        <is>
          <t>Wednesday</t>
        </is>
      </c>
      <c r="D202" s="13" t="inlineStr">
        <is>
          <t>REST DAY</t>
        </is>
      </c>
      <c r="E202" s="11" t="inlineStr">
        <is>
          <t>REST DAY — Rest, Recover &amp; Nourish ❤️</t>
        </is>
      </c>
      <c r="F202" s="12" t="n">
        <v>0</v>
      </c>
      <c r="G202" s="12" t="n">
        <v>0</v>
      </c>
      <c r="H202" s="11" t="inlineStr">
        <is>
          <t>Restorative Rest</t>
        </is>
      </c>
      <c r="I202" s="11" t="inlineStr">
        <is>
          <t>Scheduled REST DAY (Wednesday) — Muscle recovery, sleep &amp; nervous system rest. Zero workout pressure! ❤️</t>
        </is>
      </c>
      <c r="J202" s="11" t="inlineStr">
        <is>
          <t>Zero workout assigned. Rest is 100% productive and honored. Keep hydration &amp; comfortable meals.</t>
        </is>
      </c>
      <c r="K202" s="11" t="inlineStr">
        <is>
          <t>Hand on heart, deep peaceful breathing, soothing chamomile or warm water.</t>
        </is>
      </c>
      <c r="L202" s="11" t="inlineStr">
        <is>
          <t>Optional gentle stroll around room if desired, never mandatory.</t>
        </is>
      </c>
      <c r="M202" s="11" t="inlineStr">
        <is>
          <t>N/A (Scheduled Rest Day)</t>
        </is>
      </c>
    </row>
    <row r="203" ht="32" customHeight="1">
      <c r="A203" s="10" t="inlineStr">
        <is>
          <t>2027-05-13</t>
        </is>
      </c>
      <c r="B203" s="10" t="n">
        <v>202</v>
      </c>
      <c r="C203" s="10" t="inlineStr">
        <is>
          <t>Thursday</t>
        </is>
      </c>
      <c r="D203" s="14" t="inlineStr">
        <is>
          <t>ZUMBA SESSION</t>
        </is>
      </c>
      <c r="E203" s="11" t="inlineStr">
        <is>
          <t>25-Min Radiant Celebration Zumba Masterclass</t>
        </is>
      </c>
      <c r="F203" s="12" t="n">
        <v>25</v>
      </c>
      <c r="G203" s="12" t="n">
        <v>200</v>
      </c>
      <c r="H203" s="11" t="inlineStr">
        <is>
          <t>Masterclass Dance Party</t>
        </is>
      </c>
      <c r="I203" s="11" t="inlineStr">
        <is>
          <t>3 minutes energetic groove warm-up. You are vibrant, strong, and confident! Celebrate your 240-day transformation with joyful dance.</t>
        </is>
      </c>
      <c r="J203" s="11" t="inlineStr">
        <is>
          <t>Full Fiesta Groove (8 mins) • Bollywood Anthem Dance (8 mins) • Latin Salsa Carnival (9 mins)</t>
        </is>
      </c>
      <c r="K203" s="11" t="inlineStr">
        <is>
          <t>3 minutes graceful gratitude dance cool-down.</t>
        </is>
      </c>
      <c r="L203" s="11" t="inlineStr">
        <is>
          <t>Take sips of water whenever thirsty and enjoy every song.</t>
        </is>
      </c>
      <c r="M203" s="11" t="inlineStr">
        <is>
          <t>https://www.youtube.com/results?search_query=25+minute+zumba+dance+workout+total+body+fitness</t>
        </is>
      </c>
    </row>
    <row r="204" ht="32" customHeight="1">
      <c r="A204" s="10" t="inlineStr">
        <is>
          <t>2027-05-14</t>
        </is>
      </c>
      <c r="B204" s="10" t="n">
        <v>203</v>
      </c>
      <c r="C204" s="10" t="inlineStr">
        <is>
          <t>Friday</t>
        </is>
      </c>
      <c r="D204" s="14" t="inlineStr">
        <is>
          <t>ZUMBA SESSION</t>
        </is>
      </c>
      <c r="E204" s="11" t="inlineStr">
        <is>
          <t>20-Min Full Body Zumba Fiesta &amp; Core Tone</t>
        </is>
      </c>
      <c r="F204" s="12" t="n">
        <v>20</v>
      </c>
      <c r="G204" s="12" t="n">
        <v>155</v>
      </c>
      <c r="H204" s="11" t="inlineStr">
        <is>
          <t>Zumba Fiesta &amp; Tone</t>
        </is>
      </c>
      <c r="I204" s="11" t="inlineStr">
        <is>
          <t>3 minutes dynamic dance warm-up. Full body dance rhythm that naturally engages your core, tones waist, and boosts endurance effortlessly.</t>
        </is>
      </c>
      <c r="J204" s="11" t="inlineStr">
        <is>
          <t>Cumbia Two-Step &amp; Pump (5 mins) • Bollywood Desi Thumka (5 mins) • Salsa Double Step (5 mins) • Samba Shimmy &amp; Reach (5 mins)</t>
        </is>
      </c>
      <c r="K204" s="11" t="inlineStr">
        <is>
          <t>3 minutes slow waltz flow and full body stretch.</t>
        </is>
      </c>
      <c r="L204" s="11" t="inlineStr">
        <is>
          <t>Omit quick pivots; maintain simple two-step touch.</t>
        </is>
      </c>
      <c r="M204" s="11" t="inlineStr">
        <is>
          <t>https://www.youtube.com/results?search_query=20+minute+zumba+dance+party+at+home+sweat+and+smile</t>
        </is>
      </c>
    </row>
    <row r="205" ht="32" customHeight="1">
      <c r="A205" s="10" t="inlineStr">
        <is>
          <t>2027-05-15</t>
        </is>
      </c>
      <c r="B205" s="10" t="n">
        <v>204</v>
      </c>
      <c r="C205" s="10" t="inlineStr">
        <is>
          <t>Saturday</t>
        </is>
      </c>
      <c r="D205" s="13" t="inlineStr">
        <is>
          <t>REST DAY</t>
        </is>
      </c>
      <c r="E205" s="11" t="inlineStr">
        <is>
          <t>REST DAY — Rest, Recover &amp; Nourish ❤️</t>
        </is>
      </c>
      <c r="F205" s="12" t="n">
        <v>0</v>
      </c>
      <c r="G205" s="12" t="n">
        <v>0</v>
      </c>
      <c r="H205" s="11" t="inlineStr">
        <is>
          <t>Restorative Rest</t>
        </is>
      </c>
      <c r="I205" s="11" t="inlineStr">
        <is>
          <t>Scheduled REST DAY (Saturday) — Muscle recovery, sleep &amp; nervous system rest. Zero workout pressure! ❤️</t>
        </is>
      </c>
      <c r="J205" s="11" t="inlineStr">
        <is>
          <t>Zero workout assigned. Rest is 100% productive and honored. Keep hydration &amp; comfortable meals.</t>
        </is>
      </c>
      <c r="K205" s="11" t="inlineStr">
        <is>
          <t>Hand on heart, deep peaceful breathing, soothing chamomile or warm water.</t>
        </is>
      </c>
      <c r="L205" s="11" t="inlineStr">
        <is>
          <t>Optional gentle stroll around room if desired, never mandatory.</t>
        </is>
      </c>
      <c r="M205" s="11" t="inlineStr">
        <is>
          <t>N/A (Scheduled Rest Day)</t>
        </is>
      </c>
    </row>
    <row r="206" ht="32" customHeight="1">
      <c r="A206" s="10" t="inlineStr">
        <is>
          <t>2027-05-16</t>
        </is>
      </c>
      <c r="B206" s="10" t="n">
        <v>205</v>
      </c>
      <c r="C206" s="10" t="inlineStr">
        <is>
          <t>Sunday</t>
        </is>
      </c>
      <c r="D206" s="13" t="inlineStr">
        <is>
          <t>REST DAY</t>
        </is>
      </c>
      <c r="E206" s="11" t="inlineStr">
        <is>
          <t>REST DAY — Rest, Recover &amp; Nourish ❤️</t>
        </is>
      </c>
      <c r="F206" s="12" t="n">
        <v>0</v>
      </c>
      <c r="G206" s="12" t="n">
        <v>0</v>
      </c>
      <c r="H206" s="11" t="inlineStr">
        <is>
          <t>Restorative Rest</t>
        </is>
      </c>
      <c r="I206" s="11" t="inlineStr">
        <is>
          <t>Scheduled REST DAY (Sunday) — Muscle recovery, sleep &amp; nervous system rest. Zero workout pressure! ❤️</t>
        </is>
      </c>
      <c r="J206" s="11" t="inlineStr">
        <is>
          <t>Zero workout assigned. Rest is 100% productive and honored. Keep hydration &amp; comfortable meals.</t>
        </is>
      </c>
      <c r="K206" s="11" t="inlineStr">
        <is>
          <t>Hand on heart, deep peaceful breathing, soothing chamomile or warm water.</t>
        </is>
      </c>
      <c r="L206" s="11" t="inlineStr">
        <is>
          <t>Optional gentle stroll around room if desired, never mandatory.</t>
        </is>
      </c>
      <c r="M206" s="11" t="inlineStr">
        <is>
          <t>N/A (Scheduled Rest Day)</t>
        </is>
      </c>
    </row>
    <row r="207" ht="32" customHeight="1">
      <c r="A207" s="10" t="inlineStr">
        <is>
          <t>2027-05-17</t>
        </is>
      </c>
      <c r="B207" s="10" t="n">
        <v>206</v>
      </c>
      <c r="C207" s="10" t="inlineStr">
        <is>
          <t>Monday</t>
        </is>
      </c>
      <c r="D207" s="14" t="inlineStr">
        <is>
          <t>ZUMBA SESSION</t>
        </is>
      </c>
      <c r="E207" s="11" t="inlineStr">
        <is>
          <t>25-Min Radiant Celebration Zumba Masterclass</t>
        </is>
      </c>
      <c r="F207" s="12" t="n">
        <v>25</v>
      </c>
      <c r="G207" s="12" t="n">
        <v>200</v>
      </c>
      <c r="H207" s="11" t="inlineStr">
        <is>
          <t>Masterclass Dance Party</t>
        </is>
      </c>
      <c r="I207" s="11" t="inlineStr">
        <is>
          <t>3 minutes energetic groove warm-up. You are vibrant, strong, and confident! Celebrate your 240-day transformation with joyful dance.</t>
        </is>
      </c>
      <c r="J207" s="11" t="inlineStr">
        <is>
          <t>Full Fiesta Groove (8 mins) • Bollywood Anthem Dance (8 mins) • Latin Salsa Carnival (9 mins)</t>
        </is>
      </c>
      <c r="K207" s="11" t="inlineStr">
        <is>
          <t>3 minutes graceful gratitude dance cool-down.</t>
        </is>
      </c>
      <c r="L207" s="11" t="inlineStr">
        <is>
          <t>Take sips of water whenever thirsty and enjoy every song.</t>
        </is>
      </c>
      <c r="M207" s="11" t="inlineStr">
        <is>
          <t>https://www.youtube.com/results?search_query=25+minute+zumba+dance+workout+total+body+fitness</t>
        </is>
      </c>
    </row>
    <row r="208" ht="32" customHeight="1">
      <c r="A208" s="10" t="inlineStr">
        <is>
          <t>2027-05-18</t>
        </is>
      </c>
      <c r="B208" s="10" t="n">
        <v>207</v>
      </c>
      <c r="C208" s="10" t="inlineStr">
        <is>
          <t>Tuesday</t>
        </is>
      </c>
      <c r="D208" s="14" t="inlineStr">
        <is>
          <t>ZUMBA SESSION</t>
        </is>
      </c>
      <c r="E208" s="11" t="inlineStr">
        <is>
          <t>20-Min Full Body Zumba Fiesta &amp; Core Tone</t>
        </is>
      </c>
      <c r="F208" s="12" t="n">
        <v>20</v>
      </c>
      <c r="G208" s="12" t="n">
        <v>155</v>
      </c>
      <c r="H208" s="11" t="inlineStr">
        <is>
          <t>Zumba Fiesta &amp; Tone</t>
        </is>
      </c>
      <c r="I208" s="11" t="inlineStr">
        <is>
          <t>3 minutes dynamic dance warm-up. Full body dance rhythm that naturally engages your core, tones waist, and boosts endurance effortlessly.</t>
        </is>
      </c>
      <c r="J208" s="11" t="inlineStr">
        <is>
          <t>Cumbia Two-Step &amp; Pump (5 mins) • Bollywood Desi Thumka (5 mins) • Salsa Double Step (5 mins) • Samba Shimmy &amp; Reach (5 mins)</t>
        </is>
      </c>
      <c r="K208" s="11" t="inlineStr">
        <is>
          <t>3 minutes slow waltz flow and full body stretch.</t>
        </is>
      </c>
      <c r="L208" s="11" t="inlineStr">
        <is>
          <t>Omit quick pivots; maintain simple two-step touch.</t>
        </is>
      </c>
      <c r="M208" s="11" t="inlineStr">
        <is>
          <t>https://www.youtube.com/results?search_query=20+minute+zumba+dance+party+at+home+sweat+and+smile</t>
        </is>
      </c>
    </row>
    <row r="209" ht="32" customHeight="1">
      <c r="A209" s="10" t="inlineStr">
        <is>
          <t>2027-05-19</t>
        </is>
      </c>
      <c r="B209" s="10" t="n">
        <v>208</v>
      </c>
      <c r="C209" s="10" t="inlineStr">
        <is>
          <t>Wednesday</t>
        </is>
      </c>
      <c r="D209" s="13" t="inlineStr">
        <is>
          <t>REST DAY</t>
        </is>
      </c>
      <c r="E209" s="11" t="inlineStr">
        <is>
          <t>REST DAY — Rest, Recover &amp; Nourish ❤️</t>
        </is>
      </c>
      <c r="F209" s="12" t="n">
        <v>0</v>
      </c>
      <c r="G209" s="12" t="n">
        <v>0</v>
      </c>
      <c r="H209" s="11" t="inlineStr">
        <is>
          <t>Restorative Rest</t>
        </is>
      </c>
      <c r="I209" s="11" t="inlineStr">
        <is>
          <t>Scheduled REST DAY (Wednesday) — Muscle recovery, sleep &amp; nervous system rest. Zero workout pressure! ❤️</t>
        </is>
      </c>
      <c r="J209" s="11" t="inlineStr">
        <is>
          <t>Zero workout assigned. Rest is 100% productive and honored. Keep hydration &amp; comfortable meals.</t>
        </is>
      </c>
      <c r="K209" s="11" t="inlineStr">
        <is>
          <t>Hand on heart, deep peaceful breathing, soothing chamomile or warm water.</t>
        </is>
      </c>
      <c r="L209" s="11" t="inlineStr">
        <is>
          <t>Optional gentle stroll around room if desired, never mandatory.</t>
        </is>
      </c>
      <c r="M209" s="11" t="inlineStr">
        <is>
          <t>N/A (Scheduled Rest Day)</t>
        </is>
      </c>
    </row>
    <row r="210" ht="32" customHeight="1">
      <c r="A210" s="10" t="inlineStr">
        <is>
          <t>2027-05-20</t>
        </is>
      </c>
      <c r="B210" s="10" t="n">
        <v>209</v>
      </c>
      <c r="C210" s="10" t="inlineStr">
        <is>
          <t>Thursday</t>
        </is>
      </c>
      <c r="D210" s="14" t="inlineStr">
        <is>
          <t>ZUMBA SESSION</t>
        </is>
      </c>
      <c r="E210" s="11" t="inlineStr">
        <is>
          <t>25-Min Radiant Celebration Zumba Masterclass</t>
        </is>
      </c>
      <c r="F210" s="12" t="n">
        <v>25</v>
      </c>
      <c r="G210" s="12" t="n">
        <v>200</v>
      </c>
      <c r="H210" s="11" t="inlineStr">
        <is>
          <t>Masterclass Dance Party</t>
        </is>
      </c>
      <c r="I210" s="11" t="inlineStr">
        <is>
          <t>3 minutes energetic groove warm-up. You are vibrant, strong, and confident! Celebrate your 240-day transformation with joyful dance.</t>
        </is>
      </c>
      <c r="J210" s="11" t="inlineStr">
        <is>
          <t>Full Fiesta Groove (8 mins) • Bollywood Anthem Dance (8 mins) • Latin Salsa Carnival (9 mins)</t>
        </is>
      </c>
      <c r="K210" s="11" t="inlineStr">
        <is>
          <t>3 minutes graceful gratitude dance cool-down.</t>
        </is>
      </c>
      <c r="L210" s="11" t="inlineStr">
        <is>
          <t>Take sips of water whenever thirsty and enjoy every song.</t>
        </is>
      </c>
      <c r="M210" s="11" t="inlineStr">
        <is>
          <t>https://www.youtube.com/results?search_query=25+minute+zumba+dance+workout+total+body+fitness</t>
        </is>
      </c>
    </row>
    <row r="211" ht="32" customHeight="1">
      <c r="A211" s="10" t="inlineStr">
        <is>
          <t>2027-05-21</t>
        </is>
      </c>
      <c r="B211" s="10" t="n">
        <v>210</v>
      </c>
      <c r="C211" s="10" t="inlineStr">
        <is>
          <t>Friday</t>
        </is>
      </c>
      <c r="D211" s="14" t="inlineStr">
        <is>
          <t>ZUMBA SESSION</t>
        </is>
      </c>
      <c r="E211" s="11" t="inlineStr">
        <is>
          <t>20-Min Full Body Zumba Fiesta &amp; Core Tone</t>
        </is>
      </c>
      <c r="F211" s="12" t="n">
        <v>20</v>
      </c>
      <c r="G211" s="12" t="n">
        <v>155</v>
      </c>
      <c r="H211" s="11" t="inlineStr">
        <is>
          <t>Zumba Fiesta &amp; Tone</t>
        </is>
      </c>
      <c r="I211" s="11" t="inlineStr">
        <is>
          <t>3 minutes dynamic dance warm-up. Full body dance rhythm that naturally engages your core, tones waist, and boosts endurance effortlessly.</t>
        </is>
      </c>
      <c r="J211" s="11" t="inlineStr">
        <is>
          <t>Cumbia Two-Step &amp; Pump (5 mins) • Bollywood Desi Thumka (5 mins) • Salsa Double Step (5 mins) • Samba Shimmy &amp; Reach (5 mins)</t>
        </is>
      </c>
      <c r="K211" s="11" t="inlineStr">
        <is>
          <t>3 minutes slow waltz flow and full body stretch.</t>
        </is>
      </c>
      <c r="L211" s="11" t="inlineStr">
        <is>
          <t>Omit quick pivots; maintain simple two-step touch.</t>
        </is>
      </c>
      <c r="M211" s="11" t="inlineStr">
        <is>
          <t>https://www.youtube.com/results?search_query=20+minute+zumba+dance+party+at+home+sweat+and+smile</t>
        </is>
      </c>
    </row>
    <row r="212" ht="32" customHeight="1">
      <c r="A212" s="10" t="inlineStr">
        <is>
          <t>2027-05-22</t>
        </is>
      </c>
      <c r="B212" s="10" t="n">
        <v>211</v>
      </c>
      <c r="C212" s="10" t="inlineStr">
        <is>
          <t>Saturday</t>
        </is>
      </c>
      <c r="D212" s="13" t="inlineStr">
        <is>
          <t>REST DAY</t>
        </is>
      </c>
      <c r="E212" s="11" t="inlineStr">
        <is>
          <t>REST DAY — Rest, Recover &amp; Nourish ❤️</t>
        </is>
      </c>
      <c r="F212" s="12" t="n">
        <v>0</v>
      </c>
      <c r="G212" s="12" t="n">
        <v>0</v>
      </c>
      <c r="H212" s="11" t="inlineStr">
        <is>
          <t>Restorative Rest</t>
        </is>
      </c>
      <c r="I212" s="11" t="inlineStr">
        <is>
          <t>Scheduled REST DAY (Saturday) — Muscle recovery, sleep &amp; nervous system rest. Zero workout pressure! ❤️</t>
        </is>
      </c>
      <c r="J212" s="11" t="inlineStr">
        <is>
          <t>Zero workout assigned. Rest is 100% productive and honored. Keep hydration &amp; comfortable meals.</t>
        </is>
      </c>
      <c r="K212" s="11" t="inlineStr">
        <is>
          <t>Hand on heart, deep peaceful breathing, soothing chamomile or warm water.</t>
        </is>
      </c>
      <c r="L212" s="11" t="inlineStr">
        <is>
          <t>Optional gentle stroll around room if desired, never mandatory.</t>
        </is>
      </c>
      <c r="M212" s="11" t="inlineStr">
        <is>
          <t>N/A (Scheduled Rest Day)</t>
        </is>
      </c>
    </row>
    <row r="213" ht="32" customHeight="1">
      <c r="A213" s="10" t="inlineStr">
        <is>
          <t>2027-05-23</t>
        </is>
      </c>
      <c r="B213" s="10" t="n">
        <v>212</v>
      </c>
      <c r="C213" s="10" t="inlineStr">
        <is>
          <t>Sunday</t>
        </is>
      </c>
      <c r="D213" s="13" t="inlineStr">
        <is>
          <t>REST DAY</t>
        </is>
      </c>
      <c r="E213" s="11" t="inlineStr">
        <is>
          <t>REST DAY — Rest, Recover &amp; Nourish ❤️</t>
        </is>
      </c>
      <c r="F213" s="12" t="n">
        <v>0</v>
      </c>
      <c r="G213" s="12" t="n">
        <v>0</v>
      </c>
      <c r="H213" s="11" t="inlineStr">
        <is>
          <t>Restorative Rest</t>
        </is>
      </c>
      <c r="I213" s="11" t="inlineStr">
        <is>
          <t>Scheduled REST DAY (Sunday) — Muscle recovery, sleep &amp; nervous system rest. Zero workout pressure! ❤️</t>
        </is>
      </c>
      <c r="J213" s="11" t="inlineStr">
        <is>
          <t>Zero workout assigned. Rest is 100% productive and honored. Keep hydration &amp; comfortable meals.</t>
        </is>
      </c>
      <c r="K213" s="11" t="inlineStr">
        <is>
          <t>Hand on heart, deep peaceful breathing, soothing chamomile or warm water.</t>
        </is>
      </c>
      <c r="L213" s="11" t="inlineStr">
        <is>
          <t>Optional gentle stroll around room if desired, never mandatory.</t>
        </is>
      </c>
      <c r="M213" s="11" t="inlineStr">
        <is>
          <t>N/A (Scheduled Rest Day)</t>
        </is>
      </c>
    </row>
    <row r="214" ht="32" customHeight="1">
      <c r="A214" s="10" t="inlineStr">
        <is>
          <t>2027-05-24</t>
        </is>
      </c>
      <c r="B214" s="10" t="n">
        <v>213</v>
      </c>
      <c r="C214" s="10" t="inlineStr">
        <is>
          <t>Monday</t>
        </is>
      </c>
      <c r="D214" s="14" t="inlineStr">
        <is>
          <t>ZUMBA SESSION</t>
        </is>
      </c>
      <c r="E214" s="11" t="inlineStr">
        <is>
          <t>25-Min Radiant Celebration Zumba Masterclass</t>
        </is>
      </c>
      <c r="F214" s="12" t="n">
        <v>25</v>
      </c>
      <c r="G214" s="12" t="n">
        <v>200</v>
      </c>
      <c r="H214" s="11" t="inlineStr">
        <is>
          <t>Masterclass Dance Party</t>
        </is>
      </c>
      <c r="I214" s="11" t="inlineStr">
        <is>
          <t>3 minutes energetic groove warm-up. You are vibrant, strong, and confident! Celebrate your 240-day transformation with joyful dance.</t>
        </is>
      </c>
      <c r="J214" s="11" t="inlineStr">
        <is>
          <t>Full Fiesta Groove (8 mins) • Bollywood Anthem Dance (8 mins) • Latin Salsa Carnival (9 mins)</t>
        </is>
      </c>
      <c r="K214" s="11" t="inlineStr">
        <is>
          <t>3 minutes graceful gratitude dance cool-down.</t>
        </is>
      </c>
      <c r="L214" s="11" t="inlineStr">
        <is>
          <t>Take sips of water whenever thirsty and enjoy every song.</t>
        </is>
      </c>
      <c r="M214" s="11" t="inlineStr">
        <is>
          <t>https://www.youtube.com/results?search_query=25+minute+zumba+dance+workout+total+body+fitness</t>
        </is>
      </c>
    </row>
    <row r="215" ht="32" customHeight="1">
      <c r="A215" s="10" t="inlineStr">
        <is>
          <t>2027-05-25</t>
        </is>
      </c>
      <c r="B215" s="10" t="n">
        <v>214</v>
      </c>
      <c r="C215" s="10" t="inlineStr">
        <is>
          <t>Tuesday</t>
        </is>
      </c>
      <c r="D215" s="14" t="inlineStr">
        <is>
          <t>ZUMBA SESSION</t>
        </is>
      </c>
      <c r="E215" s="11" t="inlineStr">
        <is>
          <t>20-Min Full Body Zumba Fiesta &amp; Core Tone</t>
        </is>
      </c>
      <c r="F215" s="12" t="n">
        <v>20</v>
      </c>
      <c r="G215" s="12" t="n">
        <v>155</v>
      </c>
      <c r="H215" s="11" t="inlineStr">
        <is>
          <t>Zumba Fiesta &amp; Tone</t>
        </is>
      </c>
      <c r="I215" s="11" t="inlineStr">
        <is>
          <t>3 minutes dynamic dance warm-up. Full body dance rhythm that naturally engages your core, tones waist, and boosts endurance effortlessly.</t>
        </is>
      </c>
      <c r="J215" s="11" t="inlineStr">
        <is>
          <t>Cumbia Two-Step &amp; Pump (5 mins) • Bollywood Desi Thumka (5 mins) • Salsa Double Step (5 mins) • Samba Shimmy &amp; Reach (5 mins)</t>
        </is>
      </c>
      <c r="K215" s="11" t="inlineStr">
        <is>
          <t>3 minutes slow waltz flow and full body stretch.</t>
        </is>
      </c>
      <c r="L215" s="11" t="inlineStr">
        <is>
          <t>Omit quick pivots; maintain simple two-step touch.</t>
        </is>
      </c>
      <c r="M215" s="11" t="inlineStr">
        <is>
          <t>https://www.youtube.com/results?search_query=20+minute+zumba+dance+party+at+home+sweat+and+smile</t>
        </is>
      </c>
    </row>
    <row r="216" ht="32" customHeight="1">
      <c r="A216" s="10" t="inlineStr">
        <is>
          <t>2027-05-26</t>
        </is>
      </c>
      <c r="B216" s="10" t="n">
        <v>215</v>
      </c>
      <c r="C216" s="10" t="inlineStr">
        <is>
          <t>Wednesday</t>
        </is>
      </c>
      <c r="D216" s="13" t="inlineStr">
        <is>
          <t>REST DAY</t>
        </is>
      </c>
      <c r="E216" s="11" t="inlineStr">
        <is>
          <t>REST DAY — Rest, Recover &amp; Nourish ❤️</t>
        </is>
      </c>
      <c r="F216" s="12" t="n">
        <v>0</v>
      </c>
      <c r="G216" s="12" t="n">
        <v>0</v>
      </c>
      <c r="H216" s="11" t="inlineStr">
        <is>
          <t>Restorative Rest</t>
        </is>
      </c>
      <c r="I216" s="11" t="inlineStr">
        <is>
          <t>Scheduled REST DAY (Wednesday) — Muscle recovery, sleep &amp; nervous system rest. Zero workout pressure! ❤️</t>
        </is>
      </c>
      <c r="J216" s="11" t="inlineStr">
        <is>
          <t>Zero workout assigned. Rest is 100% productive and honored. Keep hydration &amp; comfortable meals.</t>
        </is>
      </c>
      <c r="K216" s="11" t="inlineStr">
        <is>
          <t>Hand on heart, deep peaceful breathing, soothing chamomile or warm water.</t>
        </is>
      </c>
      <c r="L216" s="11" t="inlineStr">
        <is>
          <t>Optional gentle stroll around room if desired, never mandatory.</t>
        </is>
      </c>
      <c r="M216" s="11" t="inlineStr">
        <is>
          <t>N/A (Scheduled Rest Day)</t>
        </is>
      </c>
    </row>
    <row r="217" ht="32" customHeight="1">
      <c r="A217" s="10" t="inlineStr">
        <is>
          <t>2027-05-27</t>
        </is>
      </c>
      <c r="B217" s="10" t="n">
        <v>216</v>
      </c>
      <c r="C217" s="10" t="inlineStr">
        <is>
          <t>Thursday</t>
        </is>
      </c>
      <c r="D217" s="14" t="inlineStr">
        <is>
          <t>ZUMBA SESSION</t>
        </is>
      </c>
      <c r="E217" s="11" t="inlineStr">
        <is>
          <t>25-Min Radiant Celebration Zumba Masterclass</t>
        </is>
      </c>
      <c r="F217" s="12" t="n">
        <v>25</v>
      </c>
      <c r="G217" s="12" t="n">
        <v>200</v>
      </c>
      <c r="H217" s="11" t="inlineStr">
        <is>
          <t>Masterclass Dance Party</t>
        </is>
      </c>
      <c r="I217" s="11" t="inlineStr">
        <is>
          <t>3 minutes energetic groove warm-up. You are vibrant, strong, and confident! Celebrate your 240-day transformation with joyful dance.</t>
        </is>
      </c>
      <c r="J217" s="11" t="inlineStr">
        <is>
          <t>Full Fiesta Groove (8 mins) • Bollywood Anthem Dance (8 mins) • Latin Salsa Carnival (9 mins)</t>
        </is>
      </c>
      <c r="K217" s="11" t="inlineStr">
        <is>
          <t>3 minutes graceful gratitude dance cool-down.</t>
        </is>
      </c>
      <c r="L217" s="11" t="inlineStr">
        <is>
          <t>Take sips of water whenever thirsty and enjoy every song.</t>
        </is>
      </c>
      <c r="M217" s="11" t="inlineStr">
        <is>
          <t>https://www.youtube.com/results?search_query=25+minute+zumba+dance+workout+total+body+fitness</t>
        </is>
      </c>
    </row>
    <row r="218" ht="32" customHeight="1">
      <c r="A218" s="10" t="inlineStr">
        <is>
          <t>2027-05-28</t>
        </is>
      </c>
      <c r="B218" s="10" t="n">
        <v>217</v>
      </c>
      <c r="C218" s="10" t="inlineStr">
        <is>
          <t>Friday</t>
        </is>
      </c>
      <c r="D218" s="14" t="inlineStr">
        <is>
          <t>ZUMBA SESSION</t>
        </is>
      </c>
      <c r="E218" s="11" t="inlineStr">
        <is>
          <t>20-Min Full Body Zumba Fiesta &amp; Core Tone</t>
        </is>
      </c>
      <c r="F218" s="12" t="n">
        <v>20</v>
      </c>
      <c r="G218" s="12" t="n">
        <v>155</v>
      </c>
      <c r="H218" s="11" t="inlineStr">
        <is>
          <t>Zumba Fiesta &amp; Tone</t>
        </is>
      </c>
      <c r="I218" s="11" t="inlineStr">
        <is>
          <t>3 minutes dynamic dance warm-up. Full body dance rhythm that naturally engages your core, tones waist, and boosts endurance effortlessly.</t>
        </is>
      </c>
      <c r="J218" s="11" t="inlineStr">
        <is>
          <t>Cumbia Two-Step &amp; Pump (5 mins) • Bollywood Desi Thumka (5 mins) • Salsa Double Step (5 mins) • Samba Shimmy &amp; Reach (5 mins)</t>
        </is>
      </c>
      <c r="K218" s="11" t="inlineStr">
        <is>
          <t>3 minutes slow waltz flow and full body stretch.</t>
        </is>
      </c>
      <c r="L218" s="11" t="inlineStr">
        <is>
          <t>Omit quick pivots; maintain simple two-step touch.</t>
        </is>
      </c>
      <c r="M218" s="11" t="inlineStr">
        <is>
          <t>https://www.youtube.com/results?search_query=20+minute+zumba+dance+party+at+home+sweat+and+smile</t>
        </is>
      </c>
    </row>
    <row r="219" ht="32" customHeight="1">
      <c r="A219" s="10" t="inlineStr">
        <is>
          <t>2027-05-29</t>
        </is>
      </c>
      <c r="B219" s="10" t="n">
        <v>218</v>
      </c>
      <c r="C219" s="10" t="inlineStr">
        <is>
          <t>Saturday</t>
        </is>
      </c>
      <c r="D219" s="13" t="inlineStr">
        <is>
          <t>REST DAY</t>
        </is>
      </c>
      <c r="E219" s="11" t="inlineStr">
        <is>
          <t>REST DAY — Rest, Recover &amp; Nourish ❤️</t>
        </is>
      </c>
      <c r="F219" s="12" t="n">
        <v>0</v>
      </c>
      <c r="G219" s="12" t="n">
        <v>0</v>
      </c>
      <c r="H219" s="11" t="inlineStr">
        <is>
          <t>Restorative Rest</t>
        </is>
      </c>
      <c r="I219" s="11" t="inlineStr">
        <is>
          <t>Scheduled REST DAY (Saturday) — Muscle recovery, sleep &amp; nervous system rest. Zero workout pressure! ❤️</t>
        </is>
      </c>
      <c r="J219" s="11" t="inlineStr">
        <is>
          <t>Zero workout assigned. Rest is 100% productive and honored. Keep hydration &amp; comfortable meals.</t>
        </is>
      </c>
      <c r="K219" s="11" t="inlineStr">
        <is>
          <t>Hand on heart, deep peaceful breathing, soothing chamomile or warm water.</t>
        </is>
      </c>
      <c r="L219" s="11" t="inlineStr">
        <is>
          <t>Optional gentle stroll around room if desired, never mandatory.</t>
        </is>
      </c>
      <c r="M219" s="11" t="inlineStr">
        <is>
          <t>N/A (Scheduled Rest Day)</t>
        </is>
      </c>
    </row>
    <row r="220" ht="32" customHeight="1">
      <c r="A220" s="10" t="inlineStr">
        <is>
          <t>2027-05-30</t>
        </is>
      </c>
      <c r="B220" s="10" t="n">
        <v>219</v>
      </c>
      <c r="C220" s="10" t="inlineStr">
        <is>
          <t>Sunday</t>
        </is>
      </c>
      <c r="D220" s="13" t="inlineStr">
        <is>
          <t>REST DAY</t>
        </is>
      </c>
      <c r="E220" s="11" t="inlineStr">
        <is>
          <t>REST DAY — Rest, Recover &amp; Nourish ❤️</t>
        </is>
      </c>
      <c r="F220" s="12" t="n">
        <v>0</v>
      </c>
      <c r="G220" s="12" t="n">
        <v>0</v>
      </c>
      <c r="H220" s="11" t="inlineStr">
        <is>
          <t>Restorative Rest</t>
        </is>
      </c>
      <c r="I220" s="11" t="inlineStr">
        <is>
          <t>Scheduled REST DAY (Sunday) — Muscle recovery, sleep &amp; nervous system rest. Zero workout pressure! ❤️</t>
        </is>
      </c>
      <c r="J220" s="11" t="inlineStr">
        <is>
          <t>Zero workout assigned. Rest is 100% productive and honored. Keep hydration &amp; comfortable meals.</t>
        </is>
      </c>
      <c r="K220" s="11" t="inlineStr">
        <is>
          <t>Hand on heart, deep peaceful breathing, soothing chamomile or warm water.</t>
        </is>
      </c>
      <c r="L220" s="11" t="inlineStr">
        <is>
          <t>Optional gentle stroll around room if desired, never mandatory.</t>
        </is>
      </c>
      <c r="M220" s="11" t="inlineStr">
        <is>
          <t>N/A (Scheduled Rest Day)</t>
        </is>
      </c>
    </row>
    <row r="221" ht="32" customHeight="1">
      <c r="A221" s="10" t="inlineStr">
        <is>
          <t>2027-05-31</t>
        </is>
      </c>
      <c r="B221" s="10" t="n">
        <v>220</v>
      </c>
      <c r="C221" s="10" t="inlineStr">
        <is>
          <t>Monday</t>
        </is>
      </c>
      <c r="D221" s="14" t="inlineStr">
        <is>
          <t>ZUMBA SESSION</t>
        </is>
      </c>
      <c r="E221" s="11" t="inlineStr">
        <is>
          <t>25-Min Radiant Celebration Zumba Masterclass</t>
        </is>
      </c>
      <c r="F221" s="12" t="n">
        <v>25</v>
      </c>
      <c r="G221" s="12" t="n">
        <v>200</v>
      </c>
      <c r="H221" s="11" t="inlineStr">
        <is>
          <t>Masterclass Dance Party</t>
        </is>
      </c>
      <c r="I221" s="11" t="inlineStr">
        <is>
          <t>3 minutes energetic groove warm-up. You are vibrant, strong, and confident! Celebrate your 240-day transformation with joyful dance.</t>
        </is>
      </c>
      <c r="J221" s="11" t="inlineStr">
        <is>
          <t>Full Fiesta Groove (8 mins) • Bollywood Anthem Dance (8 mins) • Latin Salsa Carnival (9 mins)</t>
        </is>
      </c>
      <c r="K221" s="11" t="inlineStr">
        <is>
          <t>3 minutes graceful gratitude dance cool-down.</t>
        </is>
      </c>
      <c r="L221" s="11" t="inlineStr">
        <is>
          <t>Take sips of water whenever thirsty and enjoy every song.</t>
        </is>
      </c>
      <c r="M221" s="11" t="inlineStr">
        <is>
          <t>https://www.youtube.com/results?search_query=25+minute+zumba+dance+workout+total+body+fitness</t>
        </is>
      </c>
    </row>
    <row r="222" ht="32" customHeight="1">
      <c r="A222" s="10" t="inlineStr">
        <is>
          <t>2027-06-01</t>
        </is>
      </c>
      <c r="B222" s="10" t="n">
        <v>221</v>
      </c>
      <c r="C222" s="10" t="inlineStr">
        <is>
          <t>Tuesday</t>
        </is>
      </c>
      <c r="D222" s="14" t="inlineStr">
        <is>
          <t>ZUMBA SESSION</t>
        </is>
      </c>
      <c r="E222" s="11" t="inlineStr">
        <is>
          <t>20-Min Full Body Zumba Fiesta &amp; Core Tone</t>
        </is>
      </c>
      <c r="F222" s="12" t="n">
        <v>20</v>
      </c>
      <c r="G222" s="12" t="n">
        <v>155</v>
      </c>
      <c r="H222" s="11" t="inlineStr">
        <is>
          <t>Zumba Fiesta &amp; Tone</t>
        </is>
      </c>
      <c r="I222" s="11" t="inlineStr">
        <is>
          <t>3 minutes dynamic dance warm-up. Full body dance rhythm that naturally engages your core, tones waist, and boosts endurance effortlessly.</t>
        </is>
      </c>
      <c r="J222" s="11" t="inlineStr">
        <is>
          <t>Cumbia Two-Step &amp; Pump (5 mins) • Bollywood Desi Thumka (5 mins) • Salsa Double Step (5 mins) • Samba Shimmy &amp; Reach (5 mins)</t>
        </is>
      </c>
      <c r="K222" s="11" t="inlineStr">
        <is>
          <t>3 minutes slow waltz flow and full body stretch.</t>
        </is>
      </c>
      <c r="L222" s="11" t="inlineStr">
        <is>
          <t>Omit quick pivots; maintain simple two-step touch.</t>
        </is>
      </c>
      <c r="M222" s="11" t="inlineStr">
        <is>
          <t>https://www.youtube.com/results?search_query=20+minute+zumba+dance+party+at+home+sweat+and+smile</t>
        </is>
      </c>
    </row>
    <row r="223" ht="32" customHeight="1">
      <c r="A223" s="10" t="inlineStr">
        <is>
          <t>2027-06-02</t>
        </is>
      </c>
      <c r="B223" s="10" t="n">
        <v>222</v>
      </c>
      <c r="C223" s="10" t="inlineStr">
        <is>
          <t>Wednesday</t>
        </is>
      </c>
      <c r="D223" s="13" t="inlineStr">
        <is>
          <t>REST DAY</t>
        </is>
      </c>
      <c r="E223" s="11" t="inlineStr">
        <is>
          <t>REST DAY — Rest, Recover &amp; Nourish ❤️</t>
        </is>
      </c>
      <c r="F223" s="12" t="n">
        <v>0</v>
      </c>
      <c r="G223" s="12" t="n">
        <v>0</v>
      </c>
      <c r="H223" s="11" t="inlineStr">
        <is>
          <t>Restorative Rest</t>
        </is>
      </c>
      <c r="I223" s="11" t="inlineStr">
        <is>
          <t>Scheduled REST DAY (Wednesday) — Muscle recovery, sleep &amp; nervous system rest. Zero workout pressure! ❤️</t>
        </is>
      </c>
      <c r="J223" s="11" t="inlineStr">
        <is>
          <t>Zero workout assigned. Rest is 100% productive and honored. Keep hydration &amp; comfortable meals.</t>
        </is>
      </c>
      <c r="K223" s="11" t="inlineStr">
        <is>
          <t>Hand on heart, deep peaceful breathing, soothing chamomile or warm water.</t>
        </is>
      </c>
      <c r="L223" s="11" t="inlineStr">
        <is>
          <t>Optional gentle stroll around room if desired, never mandatory.</t>
        </is>
      </c>
      <c r="M223" s="11" t="inlineStr">
        <is>
          <t>N/A (Scheduled Rest Day)</t>
        </is>
      </c>
    </row>
    <row r="224" ht="32" customHeight="1">
      <c r="A224" s="10" t="inlineStr">
        <is>
          <t>2027-06-03</t>
        </is>
      </c>
      <c r="B224" s="10" t="n">
        <v>223</v>
      </c>
      <c r="C224" s="10" t="inlineStr">
        <is>
          <t>Thursday</t>
        </is>
      </c>
      <c r="D224" s="14" t="inlineStr">
        <is>
          <t>ZUMBA SESSION</t>
        </is>
      </c>
      <c r="E224" s="11" t="inlineStr">
        <is>
          <t>25-Min Radiant Celebration Zumba Masterclass</t>
        </is>
      </c>
      <c r="F224" s="12" t="n">
        <v>25</v>
      </c>
      <c r="G224" s="12" t="n">
        <v>200</v>
      </c>
      <c r="H224" s="11" t="inlineStr">
        <is>
          <t>Masterclass Dance Party</t>
        </is>
      </c>
      <c r="I224" s="11" t="inlineStr">
        <is>
          <t>3 minutes energetic groove warm-up. You are vibrant, strong, and confident! Celebrate your 240-day transformation with joyful dance.</t>
        </is>
      </c>
      <c r="J224" s="11" t="inlineStr">
        <is>
          <t>Full Fiesta Groove (8 mins) • Bollywood Anthem Dance (8 mins) • Latin Salsa Carnival (9 mins)</t>
        </is>
      </c>
      <c r="K224" s="11" t="inlineStr">
        <is>
          <t>3 minutes graceful gratitude dance cool-down.</t>
        </is>
      </c>
      <c r="L224" s="11" t="inlineStr">
        <is>
          <t>Take sips of water whenever thirsty and enjoy every song.</t>
        </is>
      </c>
      <c r="M224" s="11" t="inlineStr">
        <is>
          <t>https://www.youtube.com/results?search_query=25+minute+zumba+dance+workout+total+body+fitness</t>
        </is>
      </c>
    </row>
    <row r="225" ht="32" customHeight="1">
      <c r="A225" s="10" t="inlineStr">
        <is>
          <t>2027-06-04</t>
        </is>
      </c>
      <c r="B225" s="10" t="n">
        <v>224</v>
      </c>
      <c r="C225" s="10" t="inlineStr">
        <is>
          <t>Friday</t>
        </is>
      </c>
      <c r="D225" s="14" t="inlineStr">
        <is>
          <t>ZUMBA SESSION</t>
        </is>
      </c>
      <c r="E225" s="11" t="inlineStr">
        <is>
          <t>20-Min Full Body Zumba Fiesta &amp; Core Tone</t>
        </is>
      </c>
      <c r="F225" s="12" t="n">
        <v>20</v>
      </c>
      <c r="G225" s="12" t="n">
        <v>155</v>
      </c>
      <c r="H225" s="11" t="inlineStr">
        <is>
          <t>Zumba Fiesta &amp; Tone</t>
        </is>
      </c>
      <c r="I225" s="11" t="inlineStr">
        <is>
          <t>3 minutes dynamic dance warm-up. Full body dance rhythm that naturally engages your core, tones waist, and boosts endurance effortlessly.</t>
        </is>
      </c>
      <c r="J225" s="11" t="inlineStr">
        <is>
          <t>Cumbia Two-Step &amp; Pump (5 mins) • Bollywood Desi Thumka (5 mins) • Salsa Double Step (5 mins) • Samba Shimmy &amp; Reach (5 mins)</t>
        </is>
      </c>
      <c r="K225" s="11" t="inlineStr">
        <is>
          <t>3 minutes slow waltz flow and full body stretch.</t>
        </is>
      </c>
      <c r="L225" s="11" t="inlineStr">
        <is>
          <t>Omit quick pivots; maintain simple two-step touch.</t>
        </is>
      </c>
      <c r="M225" s="11" t="inlineStr">
        <is>
          <t>https://www.youtube.com/results?search_query=20+minute+zumba+dance+party+at+home+sweat+and+smile</t>
        </is>
      </c>
    </row>
    <row r="226" ht="32" customHeight="1">
      <c r="A226" s="10" t="inlineStr">
        <is>
          <t>2027-06-05</t>
        </is>
      </c>
      <c r="B226" s="10" t="n">
        <v>225</v>
      </c>
      <c r="C226" s="10" t="inlineStr">
        <is>
          <t>Saturday</t>
        </is>
      </c>
      <c r="D226" s="13" t="inlineStr">
        <is>
          <t>REST DAY</t>
        </is>
      </c>
      <c r="E226" s="11" t="inlineStr">
        <is>
          <t>REST DAY — Rest, Recover &amp; Nourish ❤️</t>
        </is>
      </c>
      <c r="F226" s="12" t="n">
        <v>0</v>
      </c>
      <c r="G226" s="12" t="n">
        <v>0</v>
      </c>
      <c r="H226" s="11" t="inlineStr">
        <is>
          <t>Restorative Rest</t>
        </is>
      </c>
      <c r="I226" s="11" t="inlineStr">
        <is>
          <t>Scheduled REST DAY (Saturday) — Muscle recovery, sleep &amp; nervous system rest. Zero workout pressure! ❤️</t>
        </is>
      </c>
      <c r="J226" s="11" t="inlineStr">
        <is>
          <t>Zero workout assigned. Rest is 100% productive and honored. Keep hydration &amp; comfortable meals.</t>
        </is>
      </c>
      <c r="K226" s="11" t="inlineStr">
        <is>
          <t>Hand on heart, deep peaceful breathing, soothing chamomile or warm water.</t>
        </is>
      </c>
      <c r="L226" s="11" t="inlineStr">
        <is>
          <t>Optional gentle stroll around room if desired, never mandatory.</t>
        </is>
      </c>
      <c r="M226" s="11" t="inlineStr">
        <is>
          <t>N/A (Scheduled Rest Day)</t>
        </is>
      </c>
    </row>
    <row r="227" ht="32" customHeight="1">
      <c r="A227" s="10" t="inlineStr">
        <is>
          <t>2027-06-06</t>
        </is>
      </c>
      <c r="B227" s="10" t="n">
        <v>226</v>
      </c>
      <c r="C227" s="10" t="inlineStr">
        <is>
          <t>Sunday</t>
        </is>
      </c>
      <c r="D227" s="13" t="inlineStr">
        <is>
          <t>REST DAY</t>
        </is>
      </c>
      <c r="E227" s="11" t="inlineStr">
        <is>
          <t>REST DAY — Rest, Recover &amp; Nourish ❤️</t>
        </is>
      </c>
      <c r="F227" s="12" t="n">
        <v>0</v>
      </c>
      <c r="G227" s="12" t="n">
        <v>0</v>
      </c>
      <c r="H227" s="11" t="inlineStr">
        <is>
          <t>Restorative Rest</t>
        </is>
      </c>
      <c r="I227" s="11" t="inlineStr">
        <is>
          <t>Scheduled REST DAY (Sunday) — Muscle recovery, sleep &amp; nervous system rest. Zero workout pressure! ❤️</t>
        </is>
      </c>
      <c r="J227" s="11" t="inlineStr">
        <is>
          <t>Zero workout assigned. Rest is 100% productive and honored. Keep hydration &amp; comfortable meals.</t>
        </is>
      </c>
      <c r="K227" s="11" t="inlineStr">
        <is>
          <t>Hand on heart, deep peaceful breathing, soothing chamomile or warm water.</t>
        </is>
      </c>
      <c r="L227" s="11" t="inlineStr">
        <is>
          <t>Optional gentle stroll around room if desired, never mandatory.</t>
        </is>
      </c>
      <c r="M227" s="11" t="inlineStr">
        <is>
          <t>N/A (Scheduled Rest Day)</t>
        </is>
      </c>
    </row>
    <row r="228" ht="32" customHeight="1">
      <c r="A228" s="10" t="inlineStr">
        <is>
          <t>2027-06-07</t>
        </is>
      </c>
      <c r="B228" s="10" t="n">
        <v>227</v>
      </c>
      <c r="C228" s="10" t="inlineStr">
        <is>
          <t>Monday</t>
        </is>
      </c>
      <c r="D228" s="14" t="inlineStr">
        <is>
          <t>ZUMBA SESSION</t>
        </is>
      </c>
      <c r="E228" s="11" t="inlineStr">
        <is>
          <t>25-Min Radiant Celebration Zumba Masterclass</t>
        </is>
      </c>
      <c r="F228" s="12" t="n">
        <v>25</v>
      </c>
      <c r="G228" s="12" t="n">
        <v>200</v>
      </c>
      <c r="H228" s="11" t="inlineStr">
        <is>
          <t>Masterclass Dance Party</t>
        </is>
      </c>
      <c r="I228" s="11" t="inlineStr">
        <is>
          <t>3 minutes energetic groove warm-up. You are vibrant, strong, and confident! Celebrate your 240-day transformation with joyful dance.</t>
        </is>
      </c>
      <c r="J228" s="11" t="inlineStr">
        <is>
          <t>Full Fiesta Groove (8 mins) • Bollywood Anthem Dance (8 mins) • Latin Salsa Carnival (9 mins)</t>
        </is>
      </c>
      <c r="K228" s="11" t="inlineStr">
        <is>
          <t>3 minutes graceful gratitude dance cool-down.</t>
        </is>
      </c>
      <c r="L228" s="11" t="inlineStr">
        <is>
          <t>Take sips of water whenever thirsty and enjoy every song.</t>
        </is>
      </c>
      <c r="M228" s="11" t="inlineStr">
        <is>
          <t>https://www.youtube.com/results?search_query=25+minute+zumba+dance+workout+total+body+fitness</t>
        </is>
      </c>
    </row>
    <row r="229" ht="32" customHeight="1">
      <c r="A229" s="10" t="inlineStr">
        <is>
          <t>2027-06-08</t>
        </is>
      </c>
      <c r="B229" s="10" t="n">
        <v>228</v>
      </c>
      <c r="C229" s="10" t="inlineStr">
        <is>
          <t>Tuesday</t>
        </is>
      </c>
      <c r="D229" s="14" t="inlineStr">
        <is>
          <t>ZUMBA SESSION</t>
        </is>
      </c>
      <c r="E229" s="11" t="inlineStr">
        <is>
          <t>20-Min Full Body Zumba Fiesta &amp; Core Tone</t>
        </is>
      </c>
      <c r="F229" s="12" t="n">
        <v>20</v>
      </c>
      <c r="G229" s="12" t="n">
        <v>155</v>
      </c>
      <c r="H229" s="11" t="inlineStr">
        <is>
          <t>Zumba Fiesta &amp; Tone</t>
        </is>
      </c>
      <c r="I229" s="11" t="inlineStr">
        <is>
          <t>3 minutes dynamic dance warm-up. Full body dance rhythm that naturally engages your core, tones waist, and boosts endurance effortlessly.</t>
        </is>
      </c>
      <c r="J229" s="11" t="inlineStr">
        <is>
          <t>Cumbia Two-Step &amp; Pump (5 mins) • Bollywood Desi Thumka (5 mins) • Salsa Double Step (5 mins) • Samba Shimmy &amp; Reach (5 mins)</t>
        </is>
      </c>
      <c r="K229" s="11" t="inlineStr">
        <is>
          <t>3 minutes slow waltz flow and full body stretch.</t>
        </is>
      </c>
      <c r="L229" s="11" t="inlineStr">
        <is>
          <t>Omit quick pivots; maintain simple two-step touch.</t>
        </is>
      </c>
      <c r="M229" s="11" t="inlineStr">
        <is>
          <t>https://www.youtube.com/results?search_query=20+minute+zumba+dance+party+at+home+sweat+and+smile</t>
        </is>
      </c>
    </row>
    <row r="230" ht="32" customHeight="1">
      <c r="A230" s="10" t="inlineStr">
        <is>
          <t>2027-06-09</t>
        </is>
      </c>
      <c r="B230" s="10" t="n">
        <v>229</v>
      </c>
      <c r="C230" s="10" t="inlineStr">
        <is>
          <t>Wednesday</t>
        </is>
      </c>
      <c r="D230" s="13" t="inlineStr">
        <is>
          <t>REST DAY</t>
        </is>
      </c>
      <c r="E230" s="11" t="inlineStr">
        <is>
          <t>REST DAY — Rest, Recover &amp; Nourish ❤️</t>
        </is>
      </c>
      <c r="F230" s="12" t="n">
        <v>0</v>
      </c>
      <c r="G230" s="12" t="n">
        <v>0</v>
      </c>
      <c r="H230" s="11" t="inlineStr">
        <is>
          <t>Restorative Rest</t>
        </is>
      </c>
      <c r="I230" s="11" t="inlineStr">
        <is>
          <t>Scheduled REST DAY (Wednesday) — Muscle recovery, sleep &amp; nervous system rest. Zero workout pressure! ❤️</t>
        </is>
      </c>
      <c r="J230" s="11" t="inlineStr">
        <is>
          <t>Zero workout assigned. Rest is 100% productive and honored. Keep hydration &amp; comfortable meals.</t>
        </is>
      </c>
      <c r="K230" s="11" t="inlineStr">
        <is>
          <t>Hand on heart, deep peaceful breathing, soothing chamomile or warm water.</t>
        </is>
      </c>
      <c r="L230" s="11" t="inlineStr">
        <is>
          <t>Optional gentle stroll around room if desired, never mandatory.</t>
        </is>
      </c>
      <c r="M230" s="11" t="inlineStr">
        <is>
          <t>N/A (Scheduled Rest Day)</t>
        </is>
      </c>
    </row>
    <row r="231" ht="32" customHeight="1">
      <c r="A231" s="10" t="inlineStr">
        <is>
          <t>2027-06-10</t>
        </is>
      </c>
      <c r="B231" s="10" t="n">
        <v>230</v>
      </c>
      <c r="C231" s="10" t="inlineStr">
        <is>
          <t>Thursday</t>
        </is>
      </c>
      <c r="D231" s="14" t="inlineStr">
        <is>
          <t>ZUMBA SESSION</t>
        </is>
      </c>
      <c r="E231" s="11" t="inlineStr">
        <is>
          <t>25-Min Radiant Celebration Zumba Masterclass</t>
        </is>
      </c>
      <c r="F231" s="12" t="n">
        <v>25</v>
      </c>
      <c r="G231" s="12" t="n">
        <v>200</v>
      </c>
      <c r="H231" s="11" t="inlineStr">
        <is>
          <t>Masterclass Dance Party</t>
        </is>
      </c>
      <c r="I231" s="11" t="inlineStr">
        <is>
          <t>3 minutes energetic groove warm-up. You are vibrant, strong, and confident! Celebrate your 240-day transformation with joyful dance.</t>
        </is>
      </c>
      <c r="J231" s="11" t="inlineStr">
        <is>
          <t>Full Fiesta Groove (8 mins) • Bollywood Anthem Dance (8 mins) • Latin Salsa Carnival (9 mins)</t>
        </is>
      </c>
      <c r="K231" s="11" t="inlineStr">
        <is>
          <t>3 minutes graceful gratitude dance cool-down.</t>
        </is>
      </c>
      <c r="L231" s="11" t="inlineStr">
        <is>
          <t>Take sips of water whenever thirsty and enjoy every song.</t>
        </is>
      </c>
      <c r="M231" s="11" t="inlineStr">
        <is>
          <t>https://www.youtube.com/results?search_query=25+minute+zumba+dance+workout+total+body+fitness</t>
        </is>
      </c>
    </row>
    <row r="232" ht="32" customHeight="1">
      <c r="A232" s="10" t="inlineStr">
        <is>
          <t>2027-06-11</t>
        </is>
      </c>
      <c r="B232" s="10" t="n">
        <v>231</v>
      </c>
      <c r="C232" s="10" t="inlineStr">
        <is>
          <t>Friday</t>
        </is>
      </c>
      <c r="D232" s="14" t="inlineStr">
        <is>
          <t>ZUMBA SESSION</t>
        </is>
      </c>
      <c r="E232" s="11" t="inlineStr">
        <is>
          <t>20-Min Full Body Zumba Fiesta &amp; Core Tone</t>
        </is>
      </c>
      <c r="F232" s="12" t="n">
        <v>20</v>
      </c>
      <c r="G232" s="12" t="n">
        <v>155</v>
      </c>
      <c r="H232" s="11" t="inlineStr">
        <is>
          <t>Zumba Fiesta &amp; Tone</t>
        </is>
      </c>
      <c r="I232" s="11" t="inlineStr">
        <is>
          <t>3 minutes dynamic dance warm-up. Full body dance rhythm that naturally engages your core, tones waist, and boosts endurance effortlessly.</t>
        </is>
      </c>
      <c r="J232" s="11" t="inlineStr">
        <is>
          <t>Cumbia Two-Step &amp; Pump (5 mins) • Bollywood Desi Thumka (5 mins) • Salsa Double Step (5 mins) • Samba Shimmy &amp; Reach (5 mins)</t>
        </is>
      </c>
      <c r="K232" s="11" t="inlineStr">
        <is>
          <t>3 minutes slow waltz flow and full body stretch.</t>
        </is>
      </c>
      <c r="L232" s="11" t="inlineStr">
        <is>
          <t>Omit quick pivots; maintain simple two-step touch.</t>
        </is>
      </c>
      <c r="M232" s="11" t="inlineStr">
        <is>
          <t>https://www.youtube.com/results?search_query=20+minute+zumba+dance+party+at+home+sweat+and+smile</t>
        </is>
      </c>
    </row>
    <row r="233" ht="32" customHeight="1">
      <c r="A233" s="10" t="inlineStr">
        <is>
          <t>2027-06-12</t>
        </is>
      </c>
      <c r="B233" s="10" t="n">
        <v>232</v>
      </c>
      <c r="C233" s="10" t="inlineStr">
        <is>
          <t>Saturday</t>
        </is>
      </c>
      <c r="D233" s="13" t="inlineStr">
        <is>
          <t>REST DAY</t>
        </is>
      </c>
      <c r="E233" s="11" t="inlineStr">
        <is>
          <t>REST DAY — Rest, Recover &amp; Nourish ❤️</t>
        </is>
      </c>
      <c r="F233" s="12" t="n">
        <v>0</v>
      </c>
      <c r="G233" s="12" t="n">
        <v>0</v>
      </c>
      <c r="H233" s="11" t="inlineStr">
        <is>
          <t>Restorative Rest</t>
        </is>
      </c>
      <c r="I233" s="11" t="inlineStr">
        <is>
          <t>Scheduled REST DAY (Saturday) — Muscle recovery, sleep &amp; nervous system rest. Zero workout pressure! ❤️</t>
        </is>
      </c>
      <c r="J233" s="11" t="inlineStr">
        <is>
          <t>Zero workout assigned. Rest is 100% productive and honored. Keep hydration &amp; comfortable meals.</t>
        </is>
      </c>
      <c r="K233" s="11" t="inlineStr">
        <is>
          <t>Hand on heart, deep peaceful breathing, soothing chamomile or warm water.</t>
        </is>
      </c>
      <c r="L233" s="11" t="inlineStr">
        <is>
          <t>Optional gentle stroll around room if desired, never mandatory.</t>
        </is>
      </c>
      <c r="M233" s="11" t="inlineStr">
        <is>
          <t>N/A (Scheduled Rest Day)</t>
        </is>
      </c>
    </row>
    <row r="234" ht="32" customHeight="1">
      <c r="A234" s="10" t="inlineStr">
        <is>
          <t>2027-06-13</t>
        </is>
      </c>
      <c r="B234" s="10" t="n">
        <v>233</v>
      </c>
      <c r="C234" s="10" t="inlineStr">
        <is>
          <t>Sunday</t>
        </is>
      </c>
      <c r="D234" s="13" t="inlineStr">
        <is>
          <t>REST DAY</t>
        </is>
      </c>
      <c r="E234" s="11" t="inlineStr">
        <is>
          <t>REST DAY — Rest, Recover &amp; Nourish ❤️</t>
        </is>
      </c>
      <c r="F234" s="12" t="n">
        <v>0</v>
      </c>
      <c r="G234" s="12" t="n">
        <v>0</v>
      </c>
      <c r="H234" s="11" t="inlineStr">
        <is>
          <t>Restorative Rest</t>
        </is>
      </c>
      <c r="I234" s="11" t="inlineStr">
        <is>
          <t>Scheduled REST DAY (Sunday) — Muscle recovery, sleep &amp; nervous system rest. Zero workout pressure! ❤️</t>
        </is>
      </c>
      <c r="J234" s="11" t="inlineStr">
        <is>
          <t>Zero workout assigned. Rest is 100% productive and honored. Keep hydration &amp; comfortable meals.</t>
        </is>
      </c>
      <c r="K234" s="11" t="inlineStr">
        <is>
          <t>Hand on heart, deep peaceful breathing, soothing chamomile or warm water.</t>
        </is>
      </c>
      <c r="L234" s="11" t="inlineStr">
        <is>
          <t>Optional gentle stroll around room if desired, never mandatory.</t>
        </is>
      </c>
      <c r="M234" s="11" t="inlineStr">
        <is>
          <t>N/A (Scheduled Rest Day)</t>
        </is>
      </c>
    </row>
    <row r="235" ht="32" customHeight="1">
      <c r="A235" s="10" t="inlineStr">
        <is>
          <t>2027-06-14</t>
        </is>
      </c>
      <c r="B235" s="10" t="n">
        <v>234</v>
      </c>
      <c r="C235" s="10" t="inlineStr">
        <is>
          <t>Monday</t>
        </is>
      </c>
      <c r="D235" s="14" t="inlineStr">
        <is>
          <t>ZUMBA SESSION</t>
        </is>
      </c>
      <c r="E235" s="11" t="inlineStr">
        <is>
          <t>25-Min Radiant Celebration Zumba Masterclass</t>
        </is>
      </c>
      <c r="F235" s="12" t="n">
        <v>25</v>
      </c>
      <c r="G235" s="12" t="n">
        <v>200</v>
      </c>
      <c r="H235" s="11" t="inlineStr">
        <is>
          <t>Masterclass Dance Party</t>
        </is>
      </c>
      <c r="I235" s="11" t="inlineStr">
        <is>
          <t>3 minutes energetic groove warm-up. You are vibrant, strong, and confident! Celebrate your 240-day transformation with joyful dance.</t>
        </is>
      </c>
      <c r="J235" s="11" t="inlineStr">
        <is>
          <t>Full Fiesta Groove (8 mins) • Bollywood Anthem Dance (8 mins) • Latin Salsa Carnival (9 mins)</t>
        </is>
      </c>
      <c r="K235" s="11" t="inlineStr">
        <is>
          <t>3 minutes graceful gratitude dance cool-down.</t>
        </is>
      </c>
      <c r="L235" s="11" t="inlineStr">
        <is>
          <t>Take sips of water whenever thirsty and enjoy every song.</t>
        </is>
      </c>
      <c r="M235" s="11" t="inlineStr">
        <is>
          <t>https://www.youtube.com/results?search_query=25+minute+zumba+dance+workout+total+body+fitness</t>
        </is>
      </c>
    </row>
    <row r="236" ht="32" customHeight="1">
      <c r="A236" s="10" t="inlineStr">
        <is>
          <t>2027-06-15</t>
        </is>
      </c>
      <c r="B236" s="10" t="n">
        <v>235</v>
      </c>
      <c r="C236" s="10" t="inlineStr">
        <is>
          <t>Tuesday</t>
        </is>
      </c>
      <c r="D236" s="14" t="inlineStr">
        <is>
          <t>ZUMBA SESSION</t>
        </is>
      </c>
      <c r="E236" s="11" t="inlineStr">
        <is>
          <t>20-Min Full Body Zumba Fiesta &amp; Core Tone</t>
        </is>
      </c>
      <c r="F236" s="12" t="n">
        <v>20</v>
      </c>
      <c r="G236" s="12" t="n">
        <v>155</v>
      </c>
      <c r="H236" s="11" t="inlineStr">
        <is>
          <t>Zumba Fiesta &amp; Tone</t>
        </is>
      </c>
      <c r="I236" s="11" t="inlineStr">
        <is>
          <t>3 minutes dynamic dance warm-up. Full body dance rhythm that naturally engages your core, tones waist, and boosts endurance effortlessly.</t>
        </is>
      </c>
      <c r="J236" s="11" t="inlineStr">
        <is>
          <t>Cumbia Two-Step &amp; Pump (5 mins) • Bollywood Desi Thumka (5 mins) • Salsa Double Step (5 mins) • Samba Shimmy &amp; Reach (5 mins)</t>
        </is>
      </c>
      <c r="K236" s="11" t="inlineStr">
        <is>
          <t>3 minutes slow waltz flow and full body stretch.</t>
        </is>
      </c>
      <c r="L236" s="11" t="inlineStr">
        <is>
          <t>Omit quick pivots; maintain simple two-step touch.</t>
        </is>
      </c>
      <c r="M236" s="11" t="inlineStr">
        <is>
          <t>https://www.youtube.com/results?search_query=20+minute+zumba+dance+party+at+home+sweat+and+smile</t>
        </is>
      </c>
    </row>
    <row r="237" ht="32" customHeight="1">
      <c r="A237" s="10" t="inlineStr">
        <is>
          <t>2027-06-16</t>
        </is>
      </c>
      <c r="B237" s="10" t="n">
        <v>236</v>
      </c>
      <c r="C237" s="10" t="inlineStr">
        <is>
          <t>Wednesday</t>
        </is>
      </c>
      <c r="D237" s="13" t="inlineStr">
        <is>
          <t>REST DAY</t>
        </is>
      </c>
      <c r="E237" s="11" t="inlineStr">
        <is>
          <t>REST DAY — Rest, Recover &amp; Nourish ❤️</t>
        </is>
      </c>
      <c r="F237" s="12" t="n">
        <v>0</v>
      </c>
      <c r="G237" s="12" t="n">
        <v>0</v>
      </c>
      <c r="H237" s="11" t="inlineStr">
        <is>
          <t>Restorative Rest</t>
        </is>
      </c>
      <c r="I237" s="11" t="inlineStr">
        <is>
          <t>Scheduled REST DAY (Wednesday) — Muscle recovery, sleep &amp; nervous system rest. Zero workout pressure! ❤️</t>
        </is>
      </c>
      <c r="J237" s="11" t="inlineStr">
        <is>
          <t>Zero workout assigned. Rest is 100% productive and honored. Keep hydration &amp; comfortable meals.</t>
        </is>
      </c>
      <c r="K237" s="11" t="inlineStr">
        <is>
          <t>Hand on heart, deep peaceful breathing, soothing chamomile or warm water.</t>
        </is>
      </c>
      <c r="L237" s="11" t="inlineStr">
        <is>
          <t>Optional gentle stroll around room if desired, never mandatory.</t>
        </is>
      </c>
      <c r="M237" s="11" t="inlineStr">
        <is>
          <t>N/A (Scheduled Rest Day)</t>
        </is>
      </c>
    </row>
    <row r="238" ht="32" customHeight="1">
      <c r="A238" s="10" t="inlineStr">
        <is>
          <t>2027-06-17</t>
        </is>
      </c>
      <c r="B238" s="10" t="n">
        <v>237</v>
      </c>
      <c r="C238" s="10" t="inlineStr">
        <is>
          <t>Thursday</t>
        </is>
      </c>
      <c r="D238" s="14" t="inlineStr">
        <is>
          <t>ZUMBA SESSION</t>
        </is>
      </c>
      <c r="E238" s="11" t="inlineStr">
        <is>
          <t>25-Min Radiant Celebration Zumba Masterclass</t>
        </is>
      </c>
      <c r="F238" s="12" t="n">
        <v>25</v>
      </c>
      <c r="G238" s="12" t="n">
        <v>200</v>
      </c>
      <c r="H238" s="11" t="inlineStr">
        <is>
          <t>Masterclass Dance Party</t>
        </is>
      </c>
      <c r="I238" s="11" t="inlineStr">
        <is>
          <t>3 minutes energetic groove warm-up. You are vibrant, strong, and confident! Celebrate your 240-day transformation with joyful dance.</t>
        </is>
      </c>
      <c r="J238" s="11" t="inlineStr">
        <is>
          <t>Full Fiesta Groove (8 mins) • Bollywood Anthem Dance (8 mins) • Latin Salsa Carnival (9 mins)</t>
        </is>
      </c>
      <c r="K238" s="11" t="inlineStr">
        <is>
          <t>3 minutes graceful gratitude dance cool-down.</t>
        </is>
      </c>
      <c r="L238" s="11" t="inlineStr">
        <is>
          <t>Take sips of water whenever thirsty and enjoy every song.</t>
        </is>
      </c>
      <c r="M238" s="11" t="inlineStr">
        <is>
          <t>https://www.youtube.com/results?search_query=25+minute+zumba+dance+workout+total+body+fitness</t>
        </is>
      </c>
    </row>
    <row r="239" ht="32" customHeight="1">
      <c r="A239" s="10" t="inlineStr">
        <is>
          <t>2027-06-18</t>
        </is>
      </c>
      <c r="B239" s="10" t="n">
        <v>238</v>
      </c>
      <c r="C239" s="10" t="inlineStr">
        <is>
          <t>Friday</t>
        </is>
      </c>
      <c r="D239" s="14" t="inlineStr">
        <is>
          <t>ZUMBA SESSION</t>
        </is>
      </c>
      <c r="E239" s="11" t="inlineStr">
        <is>
          <t>20-Min Full Body Zumba Fiesta &amp; Core Tone</t>
        </is>
      </c>
      <c r="F239" s="12" t="n">
        <v>20</v>
      </c>
      <c r="G239" s="12" t="n">
        <v>155</v>
      </c>
      <c r="H239" s="11" t="inlineStr">
        <is>
          <t>Zumba Fiesta &amp; Tone</t>
        </is>
      </c>
      <c r="I239" s="11" t="inlineStr">
        <is>
          <t>3 minutes dynamic dance warm-up. Full body dance rhythm that naturally engages your core, tones waist, and boosts endurance effortlessly.</t>
        </is>
      </c>
      <c r="J239" s="11" t="inlineStr">
        <is>
          <t>Cumbia Two-Step &amp; Pump (5 mins) • Bollywood Desi Thumka (5 mins) • Salsa Double Step (5 mins) • Samba Shimmy &amp; Reach (5 mins)</t>
        </is>
      </c>
      <c r="K239" s="11" t="inlineStr">
        <is>
          <t>3 minutes slow waltz flow and full body stretch.</t>
        </is>
      </c>
      <c r="L239" s="11" t="inlineStr">
        <is>
          <t>Omit quick pivots; maintain simple two-step touch.</t>
        </is>
      </c>
      <c r="M239" s="11" t="inlineStr">
        <is>
          <t>https://www.youtube.com/results?search_query=20+minute+zumba+dance+party+at+home+sweat+and+smile</t>
        </is>
      </c>
    </row>
    <row r="240" ht="32" customHeight="1">
      <c r="A240" s="10" t="inlineStr">
        <is>
          <t>2027-06-19</t>
        </is>
      </c>
      <c r="B240" s="10" t="n">
        <v>239</v>
      </c>
      <c r="C240" s="10" t="inlineStr">
        <is>
          <t>Saturday</t>
        </is>
      </c>
      <c r="D240" s="13" t="inlineStr">
        <is>
          <t>REST DAY</t>
        </is>
      </c>
      <c r="E240" s="11" t="inlineStr">
        <is>
          <t>REST DAY — Rest, Recover &amp; Nourish ❤️</t>
        </is>
      </c>
      <c r="F240" s="12" t="n">
        <v>0</v>
      </c>
      <c r="G240" s="12" t="n">
        <v>0</v>
      </c>
      <c r="H240" s="11" t="inlineStr">
        <is>
          <t>Restorative Rest</t>
        </is>
      </c>
      <c r="I240" s="11" t="inlineStr">
        <is>
          <t>Scheduled REST DAY (Saturday) — Muscle recovery, sleep &amp; nervous system rest. Zero workout pressure! ❤️</t>
        </is>
      </c>
      <c r="J240" s="11" t="inlineStr">
        <is>
          <t>Zero workout assigned. Rest is 100% productive and honored. Keep hydration &amp; comfortable meals.</t>
        </is>
      </c>
      <c r="K240" s="11" t="inlineStr">
        <is>
          <t>Hand on heart, deep peaceful breathing, soothing chamomile or warm water.</t>
        </is>
      </c>
      <c r="L240" s="11" t="inlineStr">
        <is>
          <t>Optional gentle stroll around room if desired, never mandatory.</t>
        </is>
      </c>
      <c r="M240" s="11" t="inlineStr">
        <is>
          <t>N/A (Scheduled Rest Day)</t>
        </is>
      </c>
    </row>
    <row r="241" ht="32" customHeight="1">
      <c r="A241" s="10" t="inlineStr">
        <is>
          <t>2027-06-20</t>
        </is>
      </c>
      <c r="B241" s="10" t="n">
        <v>240</v>
      </c>
      <c r="C241" s="10" t="inlineStr">
        <is>
          <t>Sunday</t>
        </is>
      </c>
      <c r="D241" s="13" t="inlineStr">
        <is>
          <t>REST DAY</t>
        </is>
      </c>
      <c r="E241" s="11" t="inlineStr">
        <is>
          <t>REST DAY — Rest, Recover &amp; Nourish ❤️</t>
        </is>
      </c>
      <c r="F241" s="12" t="n">
        <v>0</v>
      </c>
      <c r="G241" s="12" t="n">
        <v>0</v>
      </c>
      <c r="H241" s="11" t="inlineStr">
        <is>
          <t>Restorative Rest</t>
        </is>
      </c>
      <c r="I241" s="11" t="inlineStr">
        <is>
          <t>Scheduled REST DAY (Sunday) — Muscle recovery, sleep &amp; nervous system rest. Zero workout pressure! ❤️</t>
        </is>
      </c>
      <c r="J241" s="11" t="inlineStr">
        <is>
          <t>Zero workout assigned. Rest is 100% productive and honored. Keep hydration &amp; comfortable meals.</t>
        </is>
      </c>
      <c r="K241" s="11" t="inlineStr">
        <is>
          <t>Hand on heart, deep peaceful breathing, soothing chamomile or warm water.</t>
        </is>
      </c>
      <c r="L241" s="11" t="inlineStr">
        <is>
          <t>Optional gentle stroll around room if desired, never mandatory.</t>
        </is>
      </c>
      <c r="M241" s="11" t="inlineStr">
        <is>
          <t>N/A (Scheduled Rest 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showGridLines="1" workbookViewId="0">
      <selection activeCell="A1" sqref="A1"/>
    </sheetView>
  </sheetViews>
  <sheetFormatPr baseColWidth="8" defaultRowHeight="15" outlineLevelCol="0"/>
  <cols>
    <col width="16" customWidth="1" min="1" max="1"/>
    <col width="16" customWidth="1" min="2" max="2"/>
    <col width="34" customWidth="1" min="3" max="3"/>
    <col width="34" customWidth="1" min="4" max="4"/>
    <col width="14" customWidth="1" min="5" max="5"/>
    <col width="14" customWidth="1" min="6" max="6"/>
    <col width="14" customWidth="1" min="7" max="7"/>
    <col width="14" customWidth="1" min="8" max="8"/>
    <col width="24" customWidth="1" min="9" max="9"/>
    <col width="24" customWidth="1" min="10" max="10"/>
  </cols>
  <sheetData>
    <row r="1" ht="28" customHeight="1">
      <c r="A1" s="6" t="inlineStr">
        <is>
          <t>Date</t>
        </is>
      </c>
      <c r="B1" s="6" t="inlineStr">
        <is>
          <t>Meal Category</t>
        </is>
      </c>
      <c r="C1" s="6" t="inlineStr">
        <is>
          <t>Food Item Name</t>
        </is>
      </c>
      <c r="D1" s="6" t="inlineStr">
        <is>
          <t>Quantity / Weight</t>
        </is>
      </c>
      <c r="E1" s="6" t="inlineStr">
        <is>
          <t>Calories (kcal)</t>
        </is>
      </c>
      <c r="F1" s="6" t="inlineStr">
        <is>
          <t>Protein (g)</t>
        </is>
      </c>
      <c r="G1" s="6" t="inlineStr">
        <is>
          <t>Carbs (g)</t>
        </is>
      </c>
      <c r="H1" s="6" t="inlineStr">
        <is>
          <t>Fat (g)</t>
        </is>
      </c>
      <c r="I1" s="6" t="inlineStr">
        <is>
          <t>From Plan?</t>
        </is>
      </c>
      <c r="J1" s="6" t="inlineStr">
        <is>
          <t>Notes</t>
        </is>
      </c>
    </row>
    <row r="2" ht="22" customHeight="1">
      <c r="A2" s="10" t="inlineStr">
        <is>
          <t>2026-10-24</t>
        </is>
      </c>
      <c r="B2" s="10" t="inlineStr">
        <is>
          <t>Breakfast</t>
        </is>
      </c>
      <c r="C2" s="11" t="inlineStr">
        <is>
          <t>Steamed Idlis with Sambar &amp; 1 Boiled Egg</t>
        </is>
      </c>
      <c r="D2" s="11" t="inlineStr">
        <is>
          <t>2 idlis (100g) + sambar + 1 egg</t>
        </is>
      </c>
      <c r="E2" s="12" t="n">
        <v>260</v>
      </c>
      <c r="F2" s="12" t="n">
        <v>13</v>
      </c>
      <c r="G2" s="12" t="n">
        <v>34</v>
      </c>
      <c r="H2" s="12" t="n">
        <v>7</v>
      </c>
      <c r="I2" s="10" t="inlineStr">
        <is>
          <t>Yes</t>
        </is>
      </c>
      <c r="J2" s="11" t="inlineStr">
        <is>
          <t>Period Day 1 comfort breakfast</t>
        </is>
      </c>
    </row>
    <row r="3" ht="22" customHeight="1">
      <c r="A3" s="10" t="inlineStr">
        <is>
          <t>2026-10-24</t>
        </is>
      </c>
      <c r="B3" s="10" t="inlineStr">
        <is>
          <t>Morning Snack</t>
        </is>
      </c>
      <c r="C3" s="11" t="inlineStr">
        <is>
          <t>Tender Coconut Water</t>
        </is>
      </c>
      <c r="D3" s="11" t="inlineStr">
        <is>
          <t>1 glass (220ml)</t>
        </is>
      </c>
      <c r="E3" s="12" t="n">
        <v>45</v>
      </c>
      <c r="F3" s="12" t="n">
        <v>1</v>
      </c>
      <c r="G3" s="12" t="n">
        <v>10</v>
      </c>
      <c r="H3" s="12" t="n">
        <v>0</v>
      </c>
      <c r="I3" s="10" t="inlineStr">
        <is>
          <t>Yes</t>
        </is>
      </c>
      <c r="J3" s="11" t="inlineStr">
        <is>
          <t>Electrolyte cramp ease</t>
        </is>
      </c>
    </row>
    <row r="4" ht="22" customHeight="1">
      <c r="A4" s="10" t="inlineStr">
        <is>
          <t>2026-10-24</t>
        </is>
      </c>
      <c r="B4" s="10" t="inlineStr">
        <is>
          <t>Lunch</t>
        </is>
      </c>
      <c r="C4" s="11" t="inlineStr">
        <is>
          <t>Sona Masoori Rice + Dal Sambar + Beans Palya</t>
        </is>
      </c>
      <c r="D4" s="11" t="inlineStr">
        <is>
          <t>140g rice + 180g sambar + 100g beans</t>
        </is>
      </c>
      <c r="E4" s="12" t="n">
        <v>380</v>
      </c>
      <c r="F4" s="12" t="n">
        <v>12</v>
      </c>
      <c r="G4" s="12" t="n">
        <v>68</v>
      </c>
      <c r="H4" s="12" t="n">
        <v>6</v>
      </c>
      <c r="I4" s="10" t="inlineStr">
        <is>
          <t>Yes</t>
        </is>
      </c>
      <c r="J4" s="11" t="inlineStr">
        <is>
          <t>Comforting home meal</t>
        </is>
      </c>
    </row>
    <row r="5" ht="22" customHeight="1">
      <c r="A5" s="10" t="inlineStr">
        <is>
          <t>2026-10-24</t>
        </is>
      </c>
      <c r="B5" s="10" t="inlineStr">
        <is>
          <t>Evening Snack</t>
        </is>
      </c>
      <c r="C5" s="11" t="inlineStr">
        <is>
          <t>Roasted Chana &amp; Majjige</t>
        </is>
      </c>
      <c r="D5" s="11" t="inlineStr">
        <is>
          <t>25g chana + 200ml buttermilk</t>
        </is>
      </c>
      <c r="E5" s="12" t="n">
        <v>135</v>
      </c>
      <c r="F5" s="12" t="n">
        <v>7</v>
      </c>
      <c r="G5" s="12" t="n">
        <v>16</v>
      </c>
      <c r="H5" s="12" t="n">
        <v>3</v>
      </c>
      <c r="I5" s="10" t="inlineStr">
        <is>
          <t>Yes</t>
        </is>
      </c>
      <c r="J5" s="11" t="inlineStr">
        <is>
          <t>Light snack</t>
        </is>
      </c>
    </row>
    <row r="6" ht="22" customHeight="1">
      <c r="A6" s="10" t="inlineStr">
        <is>
          <t>2026-10-24</t>
        </is>
      </c>
      <c r="B6" s="10" t="inlineStr">
        <is>
          <t>Dinner</t>
        </is>
      </c>
      <c r="C6" s="11" t="inlineStr">
        <is>
          <t>2 Whole Wheat Phulkas + Homestyle Chicken Curry</t>
        </is>
      </c>
      <c r="D6" s="11" t="inlineStr">
        <is>
          <t>2 phulkas (75g) + 120g chicken curry</t>
        </is>
      </c>
      <c r="E6" s="12" t="n">
        <v>430</v>
      </c>
      <c r="F6" s="12" t="n">
        <v>29</v>
      </c>
      <c r="G6" s="12" t="n">
        <v>44</v>
      </c>
      <c r="H6" s="12" t="n">
        <v>13</v>
      </c>
      <c r="I6" s="10" t="inlineStr">
        <is>
          <t>Yes</t>
        </is>
      </c>
      <c r="J6" s="11" t="inlineStr">
        <is>
          <t>High protein dinner</t>
        </is>
      </c>
    </row>
    <row r="7" ht="22" customHeight="1">
      <c r="A7" s="10" t="inlineStr">
        <is>
          <t>2026-10-25</t>
        </is>
      </c>
      <c r="B7" s="10" t="inlineStr">
        <is>
          <t>Breakfast</t>
        </is>
      </c>
      <c r="C7" s="11" t="inlineStr">
        <is>
          <t>Vegetable Poha with Peanuts &amp; 1 Boiled Egg</t>
        </is>
      </c>
      <c r="D7" s="11" t="inlineStr">
        <is>
          <t>160g poha + 1 egg</t>
        </is>
      </c>
      <c r="E7" s="12" t="n">
        <v>330</v>
      </c>
      <c r="F7" s="12" t="n">
        <v>13</v>
      </c>
      <c r="G7" s="12" t="n">
        <v>44</v>
      </c>
      <c r="H7" s="12" t="n">
        <v>11</v>
      </c>
      <c r="I7" s="10" t="inlineStr">
        <is>
          <t>Yes</t>
        </is>
      </c>
      <c r="J7" s="11" t="inlineStr">
        <is>
          <t>Day 2 breakfast</t>
        </is>
      </c>
    </row>
    <row r="8" ht="22" customHeight="1">
      <c r="A8" s="10" t="inlineStr">
        <is>
          <t>2026-10-25</t>
        </is>
      </c>
      <c r="B8" s="10" t="inlineStr">
        <is>
          <t>Morning Snack</t>
        </is>
      </c>
      <c r="C8" s="11" t="inlineStr">
        <is>
          <t>Fresh Papaya slices</t>
        </is>
      </c>
      <c r="D8" s="11" t="inlineStr">
        <is>
          <t>150g bowl</t>
        </is>
      </c>
      <c r="E8" s="12" t="n">
        <v>60</v>
      </c>
      <c r="F8" s="12" t="n">
        <v>1</v>
      </c>
      <c r="G8" s="12" t="n">
        <v>14</v>
      </c>
      <c r="H8" s="12" t="n">
        <v>0.2</v>
      </c>
      <c r="I8" s="10" t="inlineStr">
        <is>
          <t>Yes</t>
        </is>
      </c>
      <c r="J8" s="11" t="inlineStr">
        <is>
          <t>Sweet &amp; refreshing</t>
        </is>
      </c>
    </row>
    <row r="9" ht="22" customHeight="1">
      <c r="A9" s="10" t="inlineStr">
        <is>
          <t>2026-10-25</t>
        </is>
      </c>
      <c r="B9" s="10" t="inlineStr">
        <is>
          <t>Lunch</t>
        </is>
      </c>
      <c r="C9" s="11" t="inlineStr">
        <is>
          <t>2 Soft Phulkas + Egg Curry + Cabbage Poriyal</t>
        </is>
      </c>
      <c r="D9" s="11" t="inlineStr">
        <is>
          <t>2 phulkas + 2 eggs in curry + 120g poriyal</t>
        </is>
      </c>
      <c r="E9" s="12" t="n">
        <v>440</v>
      </c>
      <c r="F9" s="12" t="n">
        <v>22</v>
      </c>
      <c r="G9" s="12" t="n">
        <v>48</v>
      </c>
      <c r="H9" s="12" t="n">
        <v>16</v>
      </c>
      <c r="I9" s="10" t="inlineStr">
        <is>
          <t>Yes</t>
        </is>
      </c>
      <c r="J9" s="11" t="inlineStr">
        <is>
          <t>Balanced lunch</t>
        </is>
      </c>
    </row>
    <row r="10" ht="22" customHeight="1">
      <c r="A10" s="10" t="inlineStr">
        <is>
          <t>2026-10-25</t>
        </is>
      </c>
      <c r="B10" s="10" t="inlineStr">
        <is>
          <t>Evening Snack</t>
        </is>
      </c>
      <c r="C10" s="11" t="inlineStr">
        <is>
          <t>Boiled Sweet Corn with Lemon</t>
        </is>
      </c>
      <c r="D10" s="11" t="inlineStr">
        <is>
          <t>1 cup (120g)</t>
        </is>
      </c>
      <c r="E10" s="12" t="n">
        <v>120</v>
      </c>
      <c r="F10" s="12" t="n">
        <v>4</v>
      </c>
      <c r="G10" s="12" t="n">
        <v>24</v>
      </c>
      <c r="H10" s="12" t="n">
        <v>1.5</v>
      </c>
      <c r="I10" s="10" t="inlineStr">
        <is>
          <t>Yes</t>
        </is>
      </c>
      <c r="J10" s="11" t="inlineStr">
        <is>
          <t>Hot &amp; tasty</t>
        </is>
      </c>
    </row>
    <row r="11" ht="22" customHeight="1">
      <c r="A11" s="10" t="inlineStr">
        <is>
          <t>2026-10-25</t>
        </is>
      </c>
      <c r="B11" s="10" t="inlineStr">
        <is>
          <t>Dinner</t>
        </is>
      </c>
      <c r="C11" s="11" t="inlineStr">
        <is>
          <t>2 Phulkas + Fresh Paneer Bhurji + Cucumber</t>
        </is>
      </c>
      <c r="D11" s="11" t="inlineStr">
        <is>
          <t>2 phulkas + 90g paneer + 100g cucumber</t>
        </is>
      </c>
      <c r="E11" s="12" t="n">
        <v>445</v>
      </c>
      <c r="F11" s="12" t="n">
        <v>21</v>
      </c>
      <c r="G11" s="12" t="n">
        <v>44</v>
      </c>
      <c r="H11" s="12" t="n">
        <v>19</v>
      </c>
      <c r="I11" s="10" t="inlineStr">
        <is>
          <t>Yes</t>
        </is>
      </c>
      <c r="J11" s="11" t="inlineStr">
        <is>
          <t>Satisfying dinner</t>
        </is>
      </c>
    </row>
    <row r="12" ht="22" customHeight="1">
      <c r="A12" s="10" t="inlineStr">
        <is>
          <t>2026-10-26</t>
        </is>
      </c>
      <c r="B12" s="10" t="inlineStr">
        <is>
          <t>Breakfast</t>
        </is>
      </c>
      <c r="C12" s="11" t="inlineStr">
        <is>
          <t>Rava Upma with Peanuts + 1 Boiled Egg</t>
        </is>
      </c>
      <c r="D12" s="11" t="inlineStr">
        <is>
          <t>180g upma + 1 egg</t>
        </is>
      </c>
      <c r="E12" s="12" t="n">
        <v>340</v>
      </c>
      <c r="F12" s="12" t="n">
        <v>14</v>
      </c>
      <c r="G12" s="12" t="n">
        <v>44</v>
      </c>
      <c r="H12" s="12" t="n">
        <v>12</v>
      </c>
      <c r="I12" s="10" t="inlineStr">
        <is>
          <t>Yes</t>
        </is>
      </c>
      <c r="J12" s="11" t="inlineStr">
        <is>
          <t>Day 3 breakfast</t>
        </is>
      </c>
    </row>
    <row r="13" ht="22" customHeight="1">
      <c r="A13" s="10" t="inlineStr">
        <is>
          <t>2026-10-26</t>
        </is>
      </c>
      <c r="B13" s="10" t="inlineStr">
        <is>
          <t>Morning Snack</t>
        </is>
      </c>
      <c r="C13" s="11" t="inlineStr">
        <is>
          <t>Spiced Buttermilk (Majjige)</t>
        </is>
      </c>
      <c r="D13" s="11" t="inlineStr">
        <is>
          <t>220ml glass</t>
        </is>
      </c>
      <c r="E13" s="12" t="n">
        <v>45</v>
      </c>
      <c r="F13" s="12" t="n">
        <v>3</v>
      </c>
      <c r="G13" s="12" t="n">
        <v>4</v>
      </c>
      <c r="H13" s="12" t="n">
        <v>1.5</v>
      </c>
      <c r="I13" s="10" t="inlineStr">
        <is>
          <t>Yes</t>
        </is>
      </c>
      <c r="J13" s="11" t="inlineStr">
        <is>
          <t>Digestive cool</t>
        </is>
      </c>
    </row>
    <row r="14" ht="22" customHeight="1">
      <c r="A14" s="10" t="inlineStr">
        <is>
          <t>2026-10-26</t>
        </is>
      </c>
      <c r="B14" s="10" t="inlineStr">
        <is>
          <t>Lunch</t>
        </is>
      </c>
      <c r="C14" s="11" t="inlineStr">
        <is>
          <t>Sona Masoori Rice + Bengaluru Chicken Curry + Beans Palya</t>
        </is>
      </c>
      <c r="D14" s="11" t="inlineStr">
        <is>
          <t>150g rice + 95g chicken meat + 130g beans</t>
        </is>
      </c>
      <c r="E14" s="12" t="n">
        <v>475</v>
      </c>
      <c r="F14" s="12" t="n">
        <v>34</v>
      </c>
      <c r="G14" s="12" t="n">
        <v>48</v>
      </c>
      <c r="H14" s="12" t="n">
        <v>14</v>
      </c>
      <c r="I14" s="10" t="inlineStr">
        <is>
          <t>Yes</t>
        </is>
      </c>
      <c r="J14" s="11" t="inlineStr">
        <is>
          <t>Post-work nourishing lunch</t>
        </is>
      </c>
    </row>
    <row r="15" ht="22" customHeight="1">
      <c r="A15" s="10" t="inlineStr">
        <is>
          <t>2026-10-26</t>
        </is>
      </c>
      <c r="B15" s="10" t="inlineStr">
        <is>
          <t>Evening Snack</t>
        </is>
      </c>
      <c r="C15" s="11" t="inlineStr">
        <is>
          <t>Roasted Kadale / Chana + Ginger Chai</t>
        </is>
      </c>
      <c r="D15" s="11" t="inlineStr">
        <is>
          <t>30g chana + 1 small chai</t>
        </is>
      </c>
      <c r="E15" s="12" t="n">
        <v>140</v>
      </c>
      <c r="F15" s="12" t="n">
        <v>6</v>
      </c>
      <c r="G15" s="12" t="n">
        <v>20</v>
      </c>
      <c r="H15" s="12" t="n">
        <v>3.5</v>
      </c>
      <c r="I15" s="10" t="inlineStr">
        <is>
          <t>Yes</t>
        </is>
      </c>
      <c r="J15" s="11" t="inlineStr">
        <is>
          <t>Evening crunch</t>
        </is>
      </c>
    </row>
    <row r="16" ht="22" customHeight="1">
      <c r="A16" s="10" t="inlineStr">
        <is>
          <t>2026-10-26</t>
        </is>
      </c>
      <c r="B16" s="10" t="inlineStr">
        <is>
          <t>Dinner</t>
        </is>
      </c>
      <c r="C16" s="11" t="inlineStr">
        <is>
          <t>2 Phulkas + Soya Chunks Curry + Curd</t>
        </is>
      </c>
      <c r="D16" s="11" t="inlineStr">
        <is>
          <t>2 phulkas + 45g soya curry + 80g curd</t>
        </is>
      </c>
      <c r="E16" s="12" t="n">
        <v>420</v>
      </c>
      <c r="F16" s="12" t="n">
        <v>29</v>
      </c>
      <c r="G16" s="12" t="n">
        <v>48</v>
      </c>
      <c r="H16" s="12" t="n">
        <v>9</v>
      </c>
      <c r="I16" s="10" t="inlineStr">
        <is>
          <t>Yes</t>
        </is>
      </c>
      <c r="J16" s="11" t="inlineStr">
        <is>
          <t>Plant protein dinner</t>
        </is>
      </c>
    </row>
    <row r="17" ht="22" customHeight="1">
      <c r="A17" s="10" t="inlineStr">
        <is>
          <t>2026-10-27</t>
        </is>
      </c>
      <c r="B17" s="10" t="inlineStr">
        <is>
          <t>Breakfast</t>
        </is>
      </c>
      <c r="C17" s="11" t="inlineStr">
        <is>
          <t>Warm Rolled Oats with Milk &amp; Apple + 1 Egg</t>
        </is>
      </c>
      <c r="D17" s="11" t="inlineStr">
        <is>
          <t>40g oats + 180ml milk + 1 egg</t>
        </is>
      </c>
      <c r="E17" s="12" t="n">
        <v>345</v>
      </c>
      <c r="F17" s="12" t="n">
        <v>18</v>
      </c>
      <c r="G17" s="12" t="n">
        <v>46</v>
      </c>
      <c r="H17" s="12" t="n">
        <v>10</v>
      </c>
      <c r="I17" s="10" t="inlineStr">
        <is>
          <t>Yes</t>
        </is>
      </c>
      <c r="J17" s="11" t="inlineStr">
        <is>
          <t>Hearty morning start</t>
        </is>
      </c>
    </row>
    <row r="18" ht="22" customHeight="1">
      <c r="A18" s="10" t="inlineStr">
        <is>
          <t>2026-10-27</t>
        </is>
      </c>
      <c r="B18" s="10" t="inlineStr">
        <is>
          <t>Morning Snack</t>
        </is>
      </c>
      <c r="C18" s="11" t="inlineStr">
        <is>
          <t>Tender Coconut Water &amp; 5 Almonds</t>
        </is>
      </c>
      <c r="D18" s="11" t="inlineStr">
        <is>
          <t>1 glass coconut water + 5 almonds</t>
        </is>
      </c>
      <c r="E18" s="12" t="n">
        <v>95</v>
      </c>
      <c r="F18" s="12" t="n">
        <v>3</v>
      </c>
      <c r="G18" s="12" t="n">
        <v>12</v>
      </c>
      <c r="H18" s="12" t="n">
        <v>4</v>
      </c>
      <c r="I18" s="10" t="inlineStr">
        <is>
          <t>Yes</t>
        </is>
      </c>
      <c r="J18" s="11" t="inlineStr">
        <is>
          <t>Mid-morning hydration</t>
        </is>
      </c>
    </row>
    <row r="19" ht="22" customHeight="1">
      <c r="A19" s="10" t="inlineStr">
        <is>
          <t>2026-10-27</t>
        </is>
      </c>
      <c r="B19" s="10" t="inlineStr">
        <is>
          <t>Lunch</t>
        </is>
      </c>
      <c r="C19" s="11" t="inlineStr">
        <is>
          <t>Sona Masoori Rice + Tender Chicken Curry + Palak Palya</t>
        </is>
      </c>
      <c r="D19" s="11" t="inlineStr">
        <is>
          <t>150g rice + 95g chicken + 130g palak</t>
        </is>
      </c>
      <c r="E19" s="12" t="n">
        <v>470</v>
      </c>
      <c r="F19" s="12" t="n">
        <v>35</v>
      </c>
      <c r="G19" s="12" t="n">
        <v>46</v>
      </c>
      <c r="H19" s="12" t="n">
        <v>13</v>
      </c>
      <c r="I19" s="10" t="inlineStr">
        <is>
          <t>Yes</t>
        </is>
      </c>
      <c r="J19" s="11" t="inlineStr">
        <is>
          <t>Rich in iron &amp; protein</t>
        </is>
      </c>
    </row>
    <row r="20" ht="22" customHeight="1">
      <c r="A20" s="10" t="inlineStr">
        <is>
          <t>2026-10-27</t>
        </is>
      </c>
      <c r="B20" s="10" t="inlineStr">
        <is>
          <t>Evening Snack</t>
        </is>
      </c>
      <c r="C20" s="11" t="inlineStr">
        <is>
          <t>Roasted Makhana in Ghee</t>
        </is>
      </c>
      <c r="D20" s="11" t="inlineStr">
        <is>
          <t>30g bowl</t>
        </is>
      </c>
      <c r="E20" s="12" t="n">
        <v>130</v>
      </c>
      <c r="F20" s="12" t="n">
        <v>3</v>
      </c>
      <c r="G20" s="12" t="n">
        <v>21</v>
      </c>
      <c r="H20" s="12" t="n">
        <v>3.5</v>
      </c>
      <c r="I20" s="10" t="inlineStr">
        <is>
          <t>Yes</t>
        </is>
      </c>
      <c r="J20" s="11" t="inlineStr">
        <is>
          <t>Light crunch</t>
        </is>
      </c>
    </row>
    <row r="21" ht="22" customHeight="1">
      <c r="A21" s="10" t="inlineStr">
        <is>
          <t>2026-10-27</t>
        </is>
      </c>
      <c r="B21" s="10" t="inlineStr">
        <is>
          <t>Dinner</t>
        </is>
      </c>
      <c r="C21" s="11" t="inlineStr">
        <is>
          <t>2 Soft Phulkas + 2 Boiled Eggs in Tomato Curry</t>
        </is>
      </c>
      <c r="D21" s="11" t="inlineStr">
        <is>
          <t>2 phulkas + 2 eggs in curry</t>
        </is>
      </c>
      <c r="E21" s="12" t="n">
        <v>415</v>
      </c>
      <c r="F21" s="12" t="n">
        <v>21</v>
      </c>
      <c r="G21" s="12" t="n">
        <v>42</v>
      </c>
      <c r="H21" s="12" t="n">
        <v>15</v>
      </c>
      <c r="I21" s="10" t="inlineStr">
        <is>
          <t>Yes</t>
        </is>
      </c>
      <c r="J21" s="11" t="inlineStr">
        <is>
          <t>Warm dinner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showGridLines="1" workbookViewId="0">
      <selection activeCell="A1" sqref="A1"/>
    </sheetView>
  </sheetViews>
  <sheetFormatPr baseColWidth="8" defaultRowHeight="15" outlineLevelCol="0"/>
  <cols>
    <col width="16" customWidth="1" min="1" max="1"/>
    <col width="38" customWidth="1" min="2" max="2"/>
    <col width="18" customWidth="1" min="3" max="3"/>
    <col width="18" customWidth="1" min="4" max="4"/>
    <col width="18" customWidth="1" min="5" max="5"/>
    <col width="30" customWidth="1" min="6" max="6"/>
    <col width="40" customWidth="1" min="7" max="7"/>
  </cols>
  <sheetData>
    <row r="1" ht="28" customHeight="1">
      <c r="A1" s="6" t="inlineStr">
        <is>
          <t>Date</t>
        </is>
      </c>
      <c r="B1" s="6" t="inlineStr">
        <is>
          <t>Zumba / Movement Title</t>
        </is>
      </c>
      <c r="C1" s="6" t="inlineStr">
        <is>
          <t>Duration (Mins)</t>
        </is>
      </c>
      <c r="D1" s="6" t="inlineStr">
        <is>
          <t>Intensity / MET</t>
        </is>
      </c>
      <c r="E1" s="6" t="inlineStr">
        <is>
          <t>Estimated Calories Burned (kcal)</t>
        </is>
      </c>
      <c r="F1" s="6" t="inlineStr">
        <is>
          <t>Estimation Method</t>
        </is>
      </c>
      <c r="G1" s="6" t="inlineStr">
        <is>
          <t>Feeling &amp; Notes</t>
        </is>
      </c>
    </row>
    <row r="2" ht="22" customHeight="1">
      <c r="A2" s="10" t="inlineStr">
        <is>
          <t>2026-10-24</t>
        </is>
      </c>
      <c r="B2" s="11" t="inlineStr">
        <is>
          <t>Rest Day Honored ❤️</t>
        </is>
      </c>
      <c r="C2" s="12" t="n">
        <v>0</v>
      </c>
      <c r="D2" s="12" t="n">
        <v>1</v>
      </c>
      <c r="E2" s="12" t="n">
        <v>0</v>
      </c>
      <c r="F2" s="11" t="inlineStr">
        <is>
          <t>Scheduled Rest Day</t>
        </is>
      </c>
      <c r="G2" s="11" t="inlineStr">
        <is>
          <t>Period Day 1 cramps; rested with warm herbal tea</t>
        </is>
      </c>
    </row>
    <row r="3" ht="22" customHeight="1">
      <c r="A3" s="10" t="inlineStr">
        <is>
          <t>2026-10-25</t>
        </is>
      </c>
      <c r="B3" s="11" t="inlineStr">
        <is>
          <t>12-Min Gentle Slow Dance &amp; Pelvic Sway</t>
        </is>
      </c>
      <c r="C3" s="12" t="n">
        <v>12</v>
      </c>
      <c r="D3" s="12" t="n">
        <v>3.2</v>
      </c>
      <c r="E3" s="12" t="n">
        <v>55</v>
      </c>
      <c r="F3" s="11" t="inlineStr">
        <is>
          <t>MET 3.2 Restorative</t>
        </is>
      </c>
      <c r="G3" s="11" t="inlineStr">
        <is>
          <t>Gentle dance hip sway eased lower back stiffness</t>
        </is>
      </c>
    </row>
    <row r="4" ht="22" customHeight="1">
      <c r="A4" s="10" t="inlineStr">
        <is>
          <t>2026-10-26</t>
        </is>
      </c>
      <c r="B4" s="11" t="inlineStr">
        <is>
          <t>15-Min Joyful Beginner Bollywood Zumba</t>
        </is>
      </c>
      <c r="C4" s="12" t="n">
        <v>15</v>
      </c>
      <c r="D4" s="12" t="n">
        <v>4.8</v>
      </c>
      <c r="E4" s="12" t="n">
        <v>105</v>
      </c>
      <c r="F4" s="11" t="inlineStr">
        <is>
          <t>MET 4.8 Dance Equation</t>
        </is>
      </c>
      <c r="G4" s="11" t="inlineStr">
        <is>
          <t>Loved the upbeat music, smile on face throughout!</t>
        </is>
      </c>
    </row>
    <row r="5" ht="22" customHeight="1">
      <c r="A5" s="10" t="inlineStr">
        <is>
          <t>2026-10-27</t>
        </is>
      </c>
      <c r="B5" s="11" t="inlineStr">
        <is>
          <t>15-Min Feel-Good Latin Zumba Party</t>
        </is>
      </c>
      <c r="C5" s="12" t="n">
        <v>15</v>
      </c>
      <c r="D5" s="12" t="n">
        <v>4.8</v>
      </c>
      <c r="E5" s="12" t="n">
        <v>105</v>
      </c>
      <c r="F5" s="11" t="inlineStr">
        <is>
          <t>MET 4.8 Dance Equation</t>
        </is>
      </c>
      <c r="G5" s="11" t="inlineStr">
        <is>
          <t>Easy steps, no jumping, knee felt great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41"/>
  <sheetViews>
    <sheetView showGridLines="1" workbookViewId="0">
      <selection activeCell="A1" sqref="A1"/>
    </sheetView>
  </sheetViews>
  <sheetFormatPr baseColWidth="8" defaultRowHeight="15" outlineLevelCol="0"/>
  <cols>
    <col width="14" customWidth="1" min="1" max="1"/>
    <col width="14" customWidth="1" min="2" max="2"/>
    <col width="14"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6" customWidth="1" min="12" max="12"/>
    <col width="20" customWidth="1" min="13" max="13"/>
    <col width="24" customWidth="1" min="14" max="14"/>
  </cols>
  <sheetData>
    <row r="1" ht="28" customHeight="1">
      <c r="A1" s="6" t="inlineStr">
        <is>
          <t>Date</t>
        </is>
      </c>
      <c r="B1" s="6" t="inlineStr">
        <is>
          <t>Day #</t>
        </is>
      </c>
      <c r="C1" s="6" t="inlineStr">
        <is>
          <t>Day of Week</t>
        </is>
      </c>
      <c r="D1" s="6" t="inlineStr">
        <is>
          <t>Actual Calories Consumed (kcal)</t>
        </is>
      </c>
      <c r="E1" s="6" t="inlineStr">
        <is>
          <t>Actual Protein Consumed (g)</t>
        </is>
      </c>
      <c r="F1" s="6" t="inlineStr">
        <is>
          <t>Estimated Zumba &amp; Exercise Calories (kcal)</t>
        </is>
      </c>
      <c r="G1" s="6" t="inlineStr">
        <is>
          <t>Baseline Daily Expenditure (kcal)</t>
        </is>
      </c>
      <c r="H1" s="6" t="inlineStr">
        <is>
          <t>Estimated Total Daily Expenditure (TDEE) (kcal)</t>
        </is>
      </c>
      <c r="I1" s="6" t="inlineStr">
        <is>
          <t>Estimated Calorie Deficit / Surplus (kcal)</t>
        </is>
      </c>
      <c r="J1" s="6" t="inlineStr">
        <is>
          <t>Planned Calorie Target (kcal)</t>
        </is>
      </c>
      <c r="K1" s="6" t="inlineStr">
        <is>
          <t>Intake vs Target Variance (kcal)</t>
        </is>
      </c>
      <c r="L1" s="6" t="inlineStr">
        <is>
          <t>Scheduled Zumba / Rest</t>
        </is>
      </c>
      <c r="M1" s="6" t="inlineStr">
        <is>
          <t>Session Completed?</t>
        </is>
      </c>
      <c r="N1" s="6" t="inlineStr">
        <is>
          <t>Daily Notes</t>
        </is>
      </c>
    </row>
    <row r="2" ht="24" customHeight="1">
      <c r="A2" s="7" t="inlineStr">
        <is>
          <t>2026-10-24</t>
        </is>
      </c>
      <c r="B2" s="7" t="n">
        <v>1</v>
      </c>
      <c r="C2" s="7" t="inlineStr">
        <is>
          <t>Saturday</t>
        </is>
      </c>
      <c r="D2" s="15">
        <f>IFERROR(SUMIFS('Actual Food Log'!E:E, 'Actual Food Log'!A:A, A2), 0)</f>
        <v/>
      </c>
      <c r="E2" s="16">
        <f>IFERROR(SUMIFS('Actual Food Log'!F:F, 'Actual Food Log'!A:A, A2), 0)</f>
        <v/>
      </c>
      <c r="F2" s="15">
        <f>IFERROR(SUMIFS('Actual Exercise Log'!E:E, 'Actual Exercise Log'!A:A, A2), 0)</f>
        <v/>
      </c>
      <c r="G2" s="15">
        <f>Setup!$B$18</f>
        <v/>
      </c>
      <c r="H2" s="15">
        <f>IF(D2&gt;0, G2 + F2, G2)</f>
        <v/>
      </c>
      <c r="I2" s="15">
        <f>IF(D2&gt;0, H2 - D2, 0)</f>
        <v/>
      </c>
      <c r="J2" s="15">
        <f>Setup!$B$20</f>
        <v/>
      </c>
      <c r="K2" s="15">
        <f>IF(D2&gt;0, D2 - J2, 0)</f>
        <v/>
      </c>
      <c r="L2" s="8" t="inlineStr">
        <is>
          <t>REST DAY</t>
        </is>
      </c>
      <c r="M2" s="7" t="inlineStr">
        <is>
          <t>Rest Day Honored ❤️</t>
        </is>
      </c>
      <c r="N2" s="8" t="inlineStr"/>
    </row>
    <row r="3" ht="24" customHeight="1">
      <c r="A3" s="10" t="inlineStr">
        <is>
          <t>2026-10-25</t>
        </is>
      </c>
      <c r="B3" s="10" t="n">
        <v>2</v>
      </c>
      <c r="C3" s="10" t="inlineStr">
        <is>
          <t>Sunday</t>
        </is>
      </c>
      <c r="D3" s="17">
        <f>IFERROR(SUMIFS('Actual Food Log'!E:E, 'Actual Food Log'!A:A, A3), 0)</f>
        <v/>
      </c>
      <c r="E3" s="18">
        <f>IFERROR(SUMIFS('Actual Food Log'!F:F, 'Actual Food Log'!A:A, A3), 0)</f>
        <v/>
      </c>
      <c r="F3" s="17">
        <f>IFERROR(SUMIFS('Actual Exercise Log'!E:E, 'Actual Exercise Log'!A:A, A3), 0)</f>
        <v/>
      </c>
      <c r="G3" s="17">
        <f>Setup!$B$18</f>
        <v/>
      </c>
      <c r="H3" s="17">
        <f>IF(D3&gt;0, G3 + F3, G3)</f>
        <v/>
      </c>
      <c r="I3" s="17">
        <f>IF(D3&gt;0, H3 - D3, 0)</f>
        <v/>
      </c>
      <c r="J3" s="17">
        <f>Setup!$B$20</f>
        <v/>
      </c>
      <c r="K3" s="17">
        <f>IF(D3&gt;0, D3 - J3, 0)</f>
        <v/>
      </c>
      <c r="L3" s="11" t="inlineStr">
        <is>
          <t>12-Min Gentle Slow Dance &amp; Pelvic Sway (Restorative Flow)</t>
        </is>
      </c>
      <c r="M3" s="10" t="inlineStr">
        <is>
          <t>Completed</t>
        </is>
      </c>
      <c r="N3" s="11" t="inlineStr"/>
    </row>
    <row r="4" ht="24" customHeight="1">
      <c r="A4" s="10" t="inlineStr">
        <is>
          <t>2026-10-26</t>
        </is>
      </c>
      <c r="B4" s="10" t="n">
        <v>3</v>
      </c>
      <c r="C4" s="10" t="inlineStr">
        <is>
          <t>Monday</t>
        </is>
      </c>
      <c r="D4" s="17">
        <f>IFERROR(SUMIFS('Actual Food Log'!E:E, 'Actual Food Log'!A:A, A4), 0)</f>
        <v/>
      </c>
      <c r="E4" s="18">
        <f>IFERROR(SUMIFS('Actual Food Log'!F:F, 'Actual Food Log'!A:A, A4), 0)</f>
        <v/>
      </c>
      <c r="F4" s="17">
        <f>IFERROR(SUMIFS('Actual Exercise Log'!E:E, 'Actual Exercise Log'!A:A, A4), 0)</f>
        <v/>
      </c>
      <c r="G4" s="17">
        <f>Setup!$B$18</f>
        <v/>
      </c>
      <c r="H4" s="17">
        <f>IF(D4&gt;0, G4 + F4, G4)</f>
        <v/>
      </c>
      <c r="I4" s="17">
        <f>IF(D4&gt;0, H4 - D4, 0)</f>
        <v/>
      </c>
      <c r="J4" s="17">
        <f>Setup!$B$20</f>
        <v/>
      </c>
      <c r="K4" s="17">
        <f>IF(D4&gt;0, D4 - J4, 0)</f>
        <v/>
      </c>
      <c r="L4" s="11" t="inlineStr">
        <is>
          <t>15-Min Joyful Beginner Bollywood Zumba Dance Party</t>
        </is>
      </c>
      <c r="M4" s="10" t="inlineStr">
        <is>
          <t>Completed</t>
        </is>
      </c>
      <c r="N4" s="11" t="inlineStr"/>
    </row>
    <row r="5" ht="24" customHeight="1">
      <c r="A5" s="10" t="inlineStr">
        <is>
          <t>2026-10-27</t>
        </is>
      </c>
      <c r="B5" s="10" t="n">
        <v>4</v>
      </c>
      <c r="C5" s="10" t="inlineStr">
        <is>
          <t>Tuesday</t>
        </is>
      </c>
      <c r="D5" s="17">
        <f>IFERROR(SUMIFS('Actual Food Log'!E:E, 'Actual Food Log'!A:A, A5), 0)</f>
        <v/>
      </c>
      <c r="E5" s="18">
        <f>IFERROR(SUMIFS('Actual Food Log'!F:F, 'Actual Food Log'!A:A, A5), 0)</f>
        <v/>
      </c>
      <c r="F5" s="17">
        <f>IFERROR(SUMIFS('Actual Exercise Log'!E:E, 'Actual Exercise Log'!A:A, A5), 0)</f>
        <v/>
      </c>
      <c r="G5" s="17">
        <f>Setup!$B$18</f>
        <v/>
      </c>
      <c r="H5" s="17">
        <f>IF(D5&gt;0, G5 + F5, G5)</f>
        <v/>
      </c>
      <c r="I5" s="17">
        <f>IF(D5&gt;0, H5 - D5, 0)</f>
        <v/>
      </c>
      <c r="J5" s="17">
        <f>Setup!$B$20</f>
        <v/>
      </c>
      <c r="K5" s="17">
        <f>IF(D5&gt;0, D5 - J5, 0)</f>
        <v/>
      </c>
      <c r="L5" s="11" t="inlineStr">
        <is>
          <t>15-Min Feel-Good Latin Zumba Party (Knee-Friendly, Low Impact)</t>
        </is>
      </c>
      <c r="M5" s="10" t="inlineStr">
        <is>
          <t>Completed</t>
        </is>
      </c>
      <c r="N5" s="11" t="inlineStr"/>
    </row>
    <row r="6" ht="24" customHeight="1">
      <c r="A6" s="7" t="inlineStr">
        <is>
          <t>2026-10-28</t>
        </is>
      </c>
      <c r="B6" s="7" t="n">
        <v>5</v>
      </c>
      <c r="C6" s="7" t="inlineStr">
        <is>
          <t>Wednesday</t>
        </is>
      </c>
      <c r="D6" s="15">
        <f>IFERROR(SUMIFS('Actual Food Log'!E:E, 'Actual Food Log'!A:A, A6), 0)</f>
        <v/>
      </c>
      <c r="E6" s="16">
        <f>IFERROR(SUMIFS('Actual Food Log'!F:F, 'Actual Food Log'!A:A, A6), 0)</f>
        <v/>
      </c>
      <c r="F6" s="15">
        <f>IFERROR(SUMIFS('Actual Exercise Log'!E:E, 'Actual Exercise Log'!A:A, A6), 0)</f>
        <v/>
      </c>
      <c r="G6" s="15">
        <f>Setup!$B$18</f>
        <v/>
      </c>
      <c r="H6" s="15">
        <f>IF(D6&gt;0, G6 + F6, G6)</f>
        <v/>
      </c>
      <c r="I6" s="15">
        <f>IF(D6&gt;0, H6 - D6, 0)</f>
        <v/>
      </c>
      <c r="J6" s="15">
        <f>Setup!$B$20</f>
        <v/>
      </c>
      <c r="K6" s="15">
        <f>IF(D6&gt;0, D6 - J6, 0)</f>
        <v/>
      </c>
      <c r="L6" s="8" t="inlineStr">
        <is>
          <t>REST DAY</t>
        </is>
      </c>
      <c r="M6" s="7" t="inlineStr">
        <is>
          <t>Rest Day Honored ❤️</t>
        </is>
      </c>
      <c r="N6" s="8" t="inlineStr"/>
    </row>
    <row r="7" ht="24" customHeight="1">
      <c r="A7" s="10" t="inlineStr">
        <is>
          <t>2026-10-29</t>
        </is>
      </c>
      <c r="B7" s="10" t="n">
        <v>6</v>
      </c>
      <c r="C7" s="10" t="inlineStr">
        <is>
          <t>Thursday</t>
        </is>
      </c>
      <c r="D7" s="17">
        <f>IFERROR(SUMIFS('Actual Food Log'!E:E, 'Actual Food Log'!A:A, A7), 0)</f>
        <v/>
      </c>
      <c r="E7" s="18">
        <f>IFERROR(SUMIFS('Actual Food Log'!F:F, 'Actual Food Log'!A:A, A7), 0)</f>
        <v/>
      </c>
      <c r="F7" s="17">
        <f>IFERROR(SUMIFS('Actual Exercise Log'!E:E, 'Actual Exercise Log'!A:A, A7), 0)</f>
        <v/>
      </c>
      <c r="G7" s="17">
        <f>Setup!$B$18</f>
        <v/>
      </c>
      <c r="H7" s="17">
        <f>IF(D7&gt;0, G7 + F7, G7)</f>
        <v/>
      </c>
      <c r="I7" s="17">
        <f>IF(D7&gt;0, H7 - D7, 0)</f>
        <v/>
      </c>
      <c r="J7" s="17">
        <f>Setup!$B$20</f>
        <v/>
      </c>
      <c r="K7" s="17">
        <f>IF(D7&gt;0, D7 - J7, 0)</f>
        <v/>
      </c>
      <c r="L7" s="11" t="inlineStr">
        <is>
          <t>15-Min Joyful Beginner Bollywood Zumba Dance Party</t>
        </is>
      </c>
      <c r="M7" s="10" t="inlineStr">
        <is>
          <t>Pending</t>
        </is>
      </c>
      <c r="N7" s="11" t="inlineStr"/>
    </row>
    <row r="8" ht="24" customHeight="1">
      <c r="A8" s="10" t="inlineStr">
        <is>
          <t>2026-10-30</t>
        </is>
      </c>
      <c r="B8" s="10" t="n">
        <v>7</v>
      </c>
      <c r="C8" s="10" t="inlineStr">
        <is>
          <t>Friday</t>
        </is>
      </c>
      <c r="D8" s="17">
        <f>IFERROR(SUMIFS('Actual Food Log'!E:E, 'Actual Food Log'!A:A, A8), 0)</f>
        <v/>
      </c>
      <c r="E8" s="18">
        <f>IFERROR(SUMIFS('Actual Food Log'!F:F, 'Actual Food Log'!A:A, A8), 0)</f>
        <v/>
      </c>
      <c r="F8" s="17">
        <f>IFERROR(SUMIFS('Actual Exercise Log'!E:E, 'Actual Exercise Log'!A:A, A8), 0)</f>
        <v/>
      </c>
      <c r="G8" s="17">
        <f>Setup!$B$18</f>
        <v/>
      </c>
      <c r="H8" s="17">
        <f>IF(D8&gt;0, G8 + F8, G8)</f>
        <v/>
      </c>
      <c r="I8" s="17">
        <f>IF(D8&gt;0, H8 - D8, 0)</f>
        <v/>
      </c>
      <c r="J8" s="17">
        <f>Setup!$B$20</f>
        <v/>
      </c>
      <c r="K8" s="17">
        <f>IF(D8&gt;0, D8 - J8, 0)</f>
        <v/>
      </c>
      <c r="L8" s="11" t="inlineStr">
        <is>
          <t>15-Min Feel-Good Latin Zumba Party (Knee-Friendly, Low Impact)</t>
        </is>
      </c>
      <c r="M8" s="10" t="inlineStr">
        <is>
          <t>Pending</t>
        </is>
      </c>
      <c r="N8" s="11" t="inlineStr"/>
    </row>
    <row r="9" ht="24" customHeight="1">
      <c r="A9" s="7" t="inlineStr">
        <is>
          <t>2026-10-31</t>
        </is>
      </c>
      <c r="B9" s="7" t="n">
        <v>8</v>
      </c>
      <c r="C9" s="7" t="inlineStr">
        <is>
          <t>Saturday</t>
        </is>
      </c>
      <c r="D9" s="15">
        <f>IFERROR(SUMIFS('Actual Food Log'!E:E, 'Actual Food Log'!A:A, A9), 0)</f>
        <v/>
      </c>
      <c r="E9" s="16">
        <f>IFERROR(SUMIFS('Actual Food Log'!F:F, 'Actual Food Log'!A:A, A9), 0)</f>
        <v/>
      </c>
      <c r="F9" s="15">
        <f>IFERROR(SUMIFS('Actual Exercise Log'!E:E, 'Actual Exercise Log'!A:A, A9), 0)</f>
        <v/>
      </c>
      <c r="G9" s="15">
        <f>Setup!$B$18</f>
        <v/>
      </c>
      <c r="H9" s="15">
        <f>IF(D9&gt;0, G9 + F9, G9)</f>
        <v/>
      </c>
      <c r="I9" s="15">
        <f>IF(D9&gt;0, H9 - D9, 0)</f>
        <v/>
      </c>
      <c r="J9" s="15">
        <f>Setup!$B$20</f>
        <v/>
      </c>
      <c r="K9" s="15">
        <f>IF(D9&gt;0, D9 - J9, 0)</f>
        <v/>
      </c>
      <c r="L9" s="8" t="inlineStr">
        <is>
          <t>REST DAY</t>
        </is>
      </c>
      <c r="M9" s="7" t="inlineStr">
        <is>
          <t>Rest Day Honored ❤️</t>
        </is>
      </c>
      <c r="N9" s="8" t="inlineStr"/>
    </row>
    <row r="10" ht="24" customHeight="1">
      <c r="A10" s="7" t="inlineStr">
        <is>
          <t>2026-11-01</t>
        </is>
      </c>
      <c r="B10" s="7" t="n">
        <v>9</v>
      </c>
      <c r="C10" s="7" t="inlineStr">
        <is>
          <t>Sunday</t>
        </is>
      </c>
      <c r="D10" s="15">
        <f>IFERROR(SUMIFS('Actual Food Log'!E:E, 'Actual Food Log'!A:A, A10), 0)</f>
        <v/>
      </c>
      <c r="E10" s="16">
        <f>IFERROR(SUMIFS('Actual Food Log'!F:F, 'Actual Food Log'!A:A, A10), 0)</f>
        <v/>
      </c>
      <c r="F10" s="15">
        <f>IFERROR(SUMIFS('Actual Exercise Log'!E:E, 'Actual Exercise Log'!A:A, A10), 0)</f>
        <v/>
      </c>
      <c r="G10" s="15">
        <f>Setup!$B$18</f>
        <v/>
      </c>
      <c r="H10" s="15">
        <f>IF(D10&gt;0, G10 + F10, G10)</f>
        <v/>
      </c>
      <c r="I10" s="15">
        <f>IF(D10&gt;0, H10 - D10, 0)</f>
        <v/>
      </c>
      <c r="J10" s="15">
        <f>Setup!$B$20</f>
        <v/>
      </c>
      <c r="K10" s="15">
        <f>IF(D10&gt;0, D10 - J10, 0)</f>
        <v/>
      </c>
      <c r="L10" s="8" t="inlineStr">
        <is>
          <t>REST DAY</t>
        </is>
      </c>
      <c r="M10" s="7" t="inlineStr">
        <is>
          <t>Rest Day Honored ❤️</t>
        </is>
      </c>
      <c r="N10" s="8" t="inlineStr"/>
    </row>
    <row r="11" ht="24" customHeight="1">
      <c r="A11" s="10" t="inlineStr">
        <is>
          <t>2026-11-02</t>
        </is>
      </c>
      <c r="B11" s="10" t="n">
        <v>10</v>
      </c>
      <c r="C11" s="10" t="inlineStr">
        <is>
          <t>Monday</t>
        </is>
      </c>
      <c r="D11" s="17">
        <f>IFERROR(SUMIFS('Actual Food Log'!E:E, 'Actual Food Log'!A:A, A11), 0)</f>
        <v/>
      </c>
      <c r="E11" s="18">
        <f>IFERROR(SUMIFS('Actual Food Log'!F:F, 'Actual Food Log'!A:A, A11), 0)</f>
        <v/>
      </c>
      <c r="F11" s="17">
        <f>IFERROR(SUMIFS('Actual Exercise Log'!E:E, 'Actual Exercise Log'!A:A, A11), 0)</f>
        <v/>
      </c>
      <c r="G11" s="17">
        <f>Setup!$B$18</f>
        <v/>
      </c>
      <c r="H11" s="17">
        <f>IF(D11&gt;0, G11 + F11, G11)</f>
        <v/>
      </c>
      <c r="I11" s="17">
        <f>IF(D11&gt;0, H11 - D11, 0)</f>
        <v/>
      </c>
      <c r="J11" s="17">
        <f>Setup!$B$20</f>
        <v/>
      </c>
      <c r="K11" s="17">
        <f>IF(D11&gt;0, D11 - J11, 0)</f>
        <v/>
      </c>
      <c r="L11" s="11" t="inlineStr">
        <is>
          <t>15-Min Joyful Beginner Bollywood Zumba Dance Party</t>
        </is>
      </c>
      <c r="M11" s="10" t="inlineStr">
        <is>
          <t>Pending</t>
        </is>
      </c>
      <c r="N11" s="11" t="inlineStr"/>
    </row>
    <row r="12" ht="24" customHeight="1">
      <c r="A12" s="10" t="inlineStr">
        <is>
          <t>2026-11-03</t>
        </is>
      </c>
      <c r="B12" s="10" t="n">
        <v>11</v>
      </c>
      <c r="C12" s="10" t="inlineStr">
        <is>
          <t>Tuesday</t>
        </is>
      </c>
      <c r="D12" s="17">
        <f>IFERROR(SUMIFS('Actual Food Log'!E:E, 'Actual Food Log'!A:A, A12), 0)</f>
        <v/>
      </c>
      <c r="E12" s="18">
        <f>IFERROR(SUMIFS('Actual Food Log'!F:F, 'Actual Food Log'!A:A, A12), 0)</f>
        <v/>
      </c>
      <c r="F12" s="17">
        <f>IFERROR(SUMIFS('Actual Exercise Log'!E:E, 'Actual Exercise Log'!A:A, A12), 0)</f>
        <v/>
      </c>
      <c r="G12" s="17">
        <f>Setup!$B$18</f>
        <v/>
      </c>
      <c r="H12" s="17">
        <f>IF(D12&gt;0, G12 + F12, G12)</f>
        <v/>
      </c>
      <c r="I12" s="17">
        <f>IF(D12&gt;0, H12 - D12, 0)</f>
        <v/>
      </c>
      <c r="J12" s="17">
        <f>Setup!$B$20</f>
        <v/>
      </c>
      <c r="K12" s="17">
        <f>IF(D12&gt;0, D12 - J12, 0)</f>
        <v/>
      </c>
      <c r="L12" s="11" t="inlineStr">
        <is>
          <t>15-Min Feel-Good Latin Zumba Party (Knee-Friendly, Low Impact)</t>
        </is>
      </c>
      <c r="M12" s="10" t="inlineStr">
        <is>
          <t>Pending</t>
        </is>
      </c>
      <c r="N12" s="11" t="inlineStr"/>
    </row>
    <row r="13" ht="24" customHeight="1">
      <c r="A13" s="7" t="inlineStr">
        <is>
          <t>2026-11-04</t>
        </is>
      </c>
      <c r="B13" s="7" t="n">
        <v>12</v>
      </c>
      <c r="C13" s="7" t="inlineStr">
        <is>
          <t>Wednesday</t>
        </is>
      </c>
      <c r="D13" s="15">
        <f>IFERROR(SUMIFS('Actual Food Log'!E:E, 'Actual Food Log'!A:A, A13), 0)</f>
        <v/>
      </c>
      <c r="E13" s="16">
        <f>IFERROR(SUMIFS('Actual Food Log'!F:F, 'Actual Food Log'!A:A, A13), 0)</f>
        <v/>
      </c>
      <c r="F13" s="15">
        <f>IFERROR(SUMIFS('Actual Exercise Log'!E:E, 'Actual Exercise Log'!A:A, A13), 0)</f>
        <v/>
      </c>
      <c r="G13" s="15">
        <f>Setup!$B$18</f>
        <v/>
      </c>
      <c r="H13" s="15">
        <f>IF(D13&gt;0, G13 + F13, G13)</f>
        <v/>
      </c>
      <c r="I13" s="15">
        <f>IF(D13&gt;0, H13 - D13, 0)</f>
        <v/>
      </c>
      <c r="J13" s="15">
        <f>Setup!$B$20</f>
        <v/>
      </c>
      <c r="K13" s="15">
        <f>IF(D13&gt;0, D13 - J13, 0)</f>
        <v/>
      </c>
      <c r="L13" s="8" t="inlineStr">
        <is>
          <t>REST DAY</t>
        </is>
      </c>
      <c r="M13" s="7" t="inlineStr">
        <is>
          <t>Rest Day Honored ❤️</t>
        </is>
      </c>
      <c r="N13" s="8" t="inlineStr"/>
    </row>
    <row r="14" ht="24" customHeight="1">
      <c r="A14" s="10" t="inlineStr">
        <is>
          <t>2026-11-05</t>
        </is>
      </c>
      <c r="B14" s="10" t="n">
        <v>13</v>
      </c>
      <c r="C14" s="10" t="inlineStr">
        <is>
          <t>Thursday</t>
        </is>
      </c>
      <c r="D14" s="17">
        <f>IFERROR(SUMIFS('Actual Food Log'!E:E, 'Actual Food Log'!A:A, A14), 0)</f>
        <v/>
      </c>
      <c r="E14" s="18">
        <f>IFERROR(SUMIFS('Actual Food Log'!F:F, 'Actual Food Log'!A:A, A14), 0)</f>
        <v/>
      </c>
      <c r="F14" s="17">
        <f>IFERROR(SUMIFS('Actual Exercise Log'!E:E, 'Actual Exercise Log'!A:A, A14), 0)</f>
        <v/>
      </c>
      <c r="G14" s="17">
        <f>Setup!$B$18</f>
        <v/>
      </c>
      <c r="H14" s="17">
        <f>IF(D14&gt;0, G14 + F14, G14)</f>
        <v/>
      </c>
      <c r="I14" s="17">
        <f>IF(D14&gt;0, H14 - D14, 0)</f>
        <v/>
      </c>
      <c r="J14" s="17">
        <f>Setup!$B$20</f>
        <v/>
      </c>
      <c r="K14" s="17">
        <f>IF(D14&gt;0, D14 - J14, 0)</f>
        <v/>
      </c>
      <c r="L14" s="11" t="inlineStr">
        <is>
          <t>15-Min Joyful Beginner Bollywood Zumba Dance Party</t>
        </is>
      </c>
      <c r="M14" s="10" t="inlineStr">
        <is>
          <t>Pending</t>
        </is>
      </c>
      <c r="N14" s="11" t="inlineStr"/>
    </row>
    <row r="15" ht="24" customHeight="1">
      <c r="A15" s="10" t="inlineStr">
        <is>
          <t>2026-11-06</t>
        </is>
      </c>
      <c r="B15" s="10" t="n">
        <v>14</v>
      </c>
      <c r="C15" s="10" t="inlineStr">
        <is>
          <t>Friday</t>
        </is>
      </c>
      <c r="D15" s="17">
        <f>IFERROR(SUMIFS('Actual Food Log'!E:E, 'Actual Food Log'!A:A, A15), 0)</f>
        <v/>
      </c>
      <c r="E15" s="18">
        <f>IFERROR(SUMIFS('Actual Food Log'!F:F, 'Actual Food Log'!A:A, A15), 0)</f>
        <v/>
      </c>
      <c r="F15" s="17">
        <f>IFERROR(SUMIFS('Actual Exercise Log'!E:E, 'Actual Exercise Log'!A:A, A15), 0)</f>
        <v/>
      </c>
      <c r="G15" s="17">
        <f>Setup!$B$18</f>
        <v/>
      </c>
      <c r="H15" s="17">
        <f>IF(D15&gt;0, G15 + F15, G15)</f>
        <v/>
      </c>
      <c r="I15" s="17">
        <f>IF(D15&gt;0, H15 - D15, 0)</f>
        <v/>
      </c>
      <c r="J15" s="17">
        <f>Setup!$B$20</f>
        <v/>
      </c>
      <c r="K15" s="17">
        <f>IF(D15&gt;0, D15 - J15, 0)</f>
        <v/>
      </c>
      <c r="L15" s="11" t="inlineStr">
        <is>
          <t>15-Min Feel-Good Latin Zumba Party (Knee-Friendly, Low Impact)</t>
        </is>
      </c>
      <c r="M15" s="10" t="inlineStr">
        <is>
          <t>Pending</t>
        </is>
      </c>
      <c r="N15" s="11" t="inlineStr"/>
    </row>
    <row r="16" ht="24" customHeight="1">
      <c r="A16" s="7" t="inlineStr">
        <is>
          <t>2026-11-07</t>
        </is>
      </c>
      <c r="B16" s="7" t="n">
        <v>15</v>
      </c>
      <c r="C16" s="7" t="inlineStr">
        <is>
          <t>Saturday</t>
        </is>
      </c>
      <c r="D16" s="15">
        <f>IFERROR(SUMIFS('Actual Food Log'!E:E, 'Actual Food Log'!A:A, A16), 0)</f>
        <v/>
      </c>
      <c r="E16" s="16">
        <f>IFERROR(SUMIFS('Actual Food Log'!F:F, 'Actual Food Log'!A:A, A16), 0)</f>
        <v/>
      </c>
      <c r="F16" s="15">
        <f>IFERROR(SUMIFS('Actual Exercise Log'!E:E, 'Actual Exercise Log'!A:A, A16), 0)</f>
        <v/>
      </c>
      <c r="G16" s="15">
        <f>Setup!$B$18</f>
        <v/>
      </c>
      <c r="H16" s="15">
        <f>IF(D16&gt;0, G16 + F16, G16)</f>
        <v/>
      </c>
      <c r="I16" s="15">
        <f>IF(D16&gt;0, H16 - D16, 0)</f>
        <v/>
      </c>
      <c r="J16" s="15">
        <f>Setup!$B$20</f>
        <v/>
      </c>
      <c r="K16" s="15">
        <f>IF(D16&gt;0, D16 - J16, 0)</f>
        <v/>
      </c>
      <c r="L16" s="8" t="inlineStr">
        <is>
          <t>REST DAY</t>
        </is>
      </c>
      <c r="M16" s="7" t="inlineStr">
        <is>
          <t>Rest Day Honored ❤️</t>
        </is>
      </c>
      <c r="N16" s="8" t="inlineStr"/>
    </row>
    <row r="17" ht="24" customHeight="1">
      <c r="A17" s="7" t="inlineStr">
        <is>
          <t>2026-11-08</t>
        </is>
      </c>
      <c r="B17" s="7" t="n">
        <v>16</v>
      </c>
      <c r="C17" s="7" t="inlineStr">
        <is>
          <t>Sunday</t>
        </is>
      </c>
      <c r="D17" s="15">
        <f>IFERROR(SUMIFS('Actual Food Log'!E:E, 'Actual Food Log'!A:A, A17), 0)</f>
        <v/>
      </c>
      <c r="E17" s="16">
        <f>IFERROR(SUMIFS('Actual Food Log'!F:F, 'Actual Food Log'!A:A, A17), 0)</f>
        <v/>
      </c>
      <c r="F17" s="15">
        <f>IFERROR(SUMIFS('Actual Exercise Log'!E:E, 'Actual Exercise Log'!A:A, A17), 0)</f>
        <v/>
      </c>
      <c r="G17" s="15">
        <f>Setup!$B$18</f>
        <v/>
      </c>
      <c r="H17" s="15">
        <f>IF(D17&gt;0, G17 + F17, G17)</f>
        <v/>
      </c>
      <c r="I17" s="15">
        <f>IF(D17&gt;0, H17 - D17, 0)</f>
        <v/>
      </c>
      <c r="J17" s="15">
        <f>Setup!$B$20</f>
        <v/>
      </c>
      <c r="K17" s="15">
        <f>IF(D17&gt;0, D17 - J17, 0)</f>
        <v/>
      </c>
      <c r="L17" s="8" t="inlineStr">
        <is>
          <t>REST DAY</t>
        </is>
      </c>
      <c r="M17" s="7" t="inlineStr">
        <is>
          <t>Rest Day Honored ❤️</t>
        </is>
      </c>
      <c r="N17" s="8" t="inlineStr"/>
    </row>
    <row r="18" ht="24" customHeight="1">
      <c r="A18" s="10" t="inlineStr">
        <is>
          <t>2026-11-09</t>
        </is>
      </c>
      <c r="B18" s="10" t="n">
        <v>17</v>
      </c>
      <c r="C18" s="10" t="inlineStr">
        <is>
          <t>Monday</t>
        </is>
      </c>
      <c r="D18" s="17">
        <f>IFERROR(SUMIFS('Actual Food Log'!E:E, 'Actual Food Log'!A:A, A18), 0)</f>
        <v/>
      </c>
      <c r="E18" s="18">
        <f>IFERROR(SUMIFS('Actual Food Log'!F:F, 'Actual Food Log'!A:A, A18), 0)</f>
        <v/>
      </c>
      <c r="F18" s="17">
        <f>IFERROR(SUMIFS('Actual Exercise Log'!E:E, 'Actual Exercise Log'!A:A, A18), 0)</f>
        <v/>
      </c>
      <c r="G18" s="17">
        <f>Setup!$B$18</f>
        <v/>
      </c>
      <c r="H18" s="17">
        <f>IF(D18&gt;0, G18 + F18, G18)</f>
        <v/>
      </c>
      <c r="I18" s="17">
        <f>IF(D18&gt;0, H18 - D18, 0)</f>
        <v/>
      </c>
      <c r="J18" s="17">
        <f>Setup!$B$20</f>
        <v/>
      </c>
      <c r="K18" s="17">
        <f>IF(D18&gt;0, D18 - J18, 0)</f>
        <v/>
      </c>
      <c r="L18" s="11" t="inlineStr">
        <is>
          <t>15-Min Joyful Beginner Bollywood Zumba Dance Party</t>
        </is>
      </c>
      <c r="M18" s="10" t="inlineStr">
        <is>
          <t>Pending</t>
        </is>
      </c>
      <c r="N18" s="11" t="inlineStr"/>
    </row>
    <row r="19" ht="24" customHeight="1">
      <c r="A19" s="10" t="inlineStr">
        <is>
          <t>2026-11-10</t>
        </is>
      </c>
      <c r="B19" s="10" t="n">
        <v>18</v>
      </c>
      <c r="C19" s="10" t="inlineStr">
        <is>
          <t>Tuesday</t>
        </is>
      </c>
      <c r="D19" s="17">
        <f>IFERROR(SUMIFS('Actual Food Log'!E:E, 'Actual Food Log'!A:A, A19), 0)</f>
        <v/>
      </c>
      <c r="E19" s="18">
        <f>IFERROR(SUMIFS('Actual Food Log'!F:F, 'Actual Food Log'!A:A, A19), 0)</f>
        <v/>
      </c>
      <c r="F19" s="17">
        <f>IFERROR(SUMIFS('Actual Exercise Log'!E:E, 'Actual Exercise Log'!A:A, A19), 0)</f>
        <v/>
      </c>
      <c r="G19" s="17">
        <f>Setup!$B$18</f>
        <v/>
      </c>
      <c r="H19" s="17">
        <f>IF(D19&gt;0, G19 + F19, G19)</f>
        <v/>
      </c>
      <c r="I19" s="17">
        <f>IF(D19&gt;0, H19 - D19, 0)</f>
        <v/>
      </c>
      <c r="J19" s="17">
        <f>Setup!$B$20</f>
        <v/>
      </c>
      <c r="K19" s="17">
        <f>IF(D19&gt;0, D19 - J19, 0)</f>
        <v/>
      </c>
      <c r="L19" s="11" t="inlineStr">
        <is>
          <t>15-Min Feel-Good Latin Zumba Party (Knee-Friendly, Low Impact)</t>
        </is>
      </c>
      <c r="M19" s="10" t="inlineStr">
        <is>
          <t>Pending</t>
        </is>
      </c>
      <c r="N19" s="11" t="inlineStr"/>
    </row>
    <row r="20" ht="24" customHeight="1">
      <c r="A20" s="7" t="inlineStr">
        <is>
          <t>2026-11-11</t>
        </is>
      </c>
      <c r="B20" s="7" t="n">
        <v>19</v>
      </c>
      <c r="C20" s="7" t="inlineStr">
        <is>
          <t>Wednesday</t>
        </is>
      </c>
      <c r="D20" s="15">
        <f>IFERROR(SUMIFS('Actual Food Log'!E:E, 'Actual Food Log'!A:A, A20), 0)</f>
        <v/>
      </c>
      <c r="E20" s="16">
        <f>IFERROR(SUMIFS('Actual Food Log'!F:F, 'Actual Food Log'!A:A, A20), 0)</f>
        <v/>
      </c>
      <c r="F20" s="15">
        <f>IFERROR(SUMIFS('Actual Exercise Log'!E:E, 'Actual Exercise Log'!A:A, A20), 0)</f>
        <v/>
      </c>
      <c r="G20" s="15">
        <f>Setup!$B$18</f>
        <v/>
      </c>
      <c r="H20" s="15">
        <f>IF(D20&gt;0, G20 + F20, G20)</f>
        <v/>
      </c>
      <c r="I20" s="15">
        <f>IF(D20&gt;0, H20 - D20, 0)</f>
        <v/>
      </c>
      <c r="J20" s="15">
        <f>Setup!$B$20</f>
        <v/>
      </c>
      <c r="K20" s="15">
        <f>IF(D20&gt;0, D20 - J20, 0)</f>
        <v/>
      </c>
      <c r="L20" s="8" t="inlineStr">
        <is>
          <t>REST DAY</t>
        </is>
      </c>
      <c r="M20" s="7" t="inlineStr">
        <is>
          <t>Rest Day Honored ❤️</t>
        </is>
      </c>
      <c r="N20" s="8" t="inlineStr"/>
    </row>
    <row r="21" ht="24" customHeight="1">
      <c r="A21" s="10" t="inlineStr">
        <is>
          <t>2026-11-12</t>
        </is>
      </c>
      <c r="B21" s="10" t="n">
        <v>20</v>
      </c>
      <c r="C21" s="10" t="inlineStr">
        <is>
          <t>Thursday</t>
        </is>
      </c>
      <c r="D21" s="17">
        <f>IFERROR(SUMIFS('Actual Food Log'!E:E, 'Actual Food Log'!A:A, A21), 0)</f>
        <v/>
      </c>
      <c r="E21" s="18">
        <f>IFERROR(SUMIFS('Actual Food Log'!F:F, 'Actual Food Log'!A:A, A21), 0)</f>
        <v/>
      </c>
      <c r="F21" s="17">
        <f>IFERROR(SUMIFS('Actual Exercise Log'!E:E, 'Actual Exercise Log'!A:A, A21), 0)</f>
        <v/>
      </c>
      <c r="G21" s="17">
        <f>Setup!$B$18</f>
        <v/>
      </c>
      <c r="H21" s="17">
        <f>IF(D21&gt;0, G21 + F21, G21)</f>
        <v/>
      </c>
      <c r="I21" s="17">
        <f>IF(D21&gt;0, H21 - D21, 0)</f>
        <v/>
      </c>
      <c r="J21" s="17">
        <f>Setup!$B$20</f>
        <v/>
      </c>
      <c r="K21" s="17">
        <f>IF(D21&gt;0, D21 - J21, 0)</f>
        <v/>
      </c>
      <c r="L21" s="11" t="inlineStr">
        <is>
          <t>15-Min Joyful Beginner Bollywood Zumba Dance Party</t>
        </is>
      </c>
      <c r="M21" s="10" t="inlineStr">
        <is>
          <t>Pending</t>
        </is>
      </c>
      <c r="N21" s="11" t="inlineStr"/>
    </row>
    <row r="22" ht="24" customHeight="1">
      <c r="A22" s="10" t="inlineStr">
        <is>
          <t>2026-11-13</t>
        </is>
      </c>
      <c r="B22" s="10" t="n">
        <v>21</v>
      </c>
      <c r="C22" s="10" t="inlineStr">
        <is>
          <t>Friday</t>
        </is>
      </c>
      <c r="D22" s="17">
        <f>IFERROR(SUMIFS('Actual Food Log'!E:E, 'Actual Food Log'!A:A, A22), 0)</f>
        <v/>
      </c>
      <c r="E22" s="18">
        <f>IFERROR(SUMIFS('Actual Food Log'!F:F, 'Actual Food Log'!A:A, A22), 0)</f>
        <v/>
      </c>
      <c r="F22" s="17">
        <f>IFERROR(SUMIFS('Actual Exercise Log'!E:E, 'Actual Exercise Log'!A:A, A22), 0)</f>
        <v/>
      </c>
      <c r="G22" s="17">
        <f>Setup!$B$18</f>
        <v/>
      </c>
      <c r="H22" s="17">
        <f>IF(D22&gt;0, G22 + F22, G22)</f>
        <v/>
      </c>
      <c r="I22" s="17">
        <f>IF(D22&gt;0, H22 - D22, 0)</f>
        <v/>
      </c>
      <c r="J22" s="17">
        <f>Setup!$B$20</f>
        <v/>
      </c>
      <c r="K22" s="17">
        <f>IF(D22&gt;0, D22 - J22, 0)</f>
        <v/>
      </c>
      <c r="L22" s="11" t="inlineStr">
        <is>
          <t>15-Min Feel-Good Latin Zumba Party (Knee-Friendly, Low Impact)</t>
        </is>
      </c>
      <c r="M22" s="10" t="inlineStr">
        <is>
          <t>Pending</t>
        </is>
      </c>
      <c r="N22" s="11" t="inlineStr"/>
    </row>
    <row r="23" ht="24" customHeight="1">
      <c r="A23" s="7" t="inlineStr">
        <is>
          <t>2026-11-14</t>
        </is>
      </c>
      <c r="B23" s="7" t="n">
        <v>22</v>
      </c>
      <c r="C23" s="7" t="inlineStr">
        <is>
          <t>Saturday</t>
        </is>
      </c>
      <c r="D23" s="15">
        <f>IFERROR(SUMIFS('Actual Food Log'!E:E, 'Actual Food Log'!A:A, A23), 0)</f>
        <v/>
      </c>
      <c r="E23" s="16">
        <f>IFERROR(SUMIFS('Actual Food Log'!F:F, 'Actual Food Log'!A:A, A23), 0)</f>
        <v/>
      </c>
      <c r="F23" s="15">
        <f>IFERROR(SUMIFS('Actual Exercise Log'!E:E, 'Actual Exercise Log'!A:A, A23), 0)</f>
        <v/>
      </c>
      <c r="G23" s="15">
        <f>Setup!$B$18</f>
        <v/>
      </c>
      <c r="H23" s="15">
        <f>IF(D23&gt;0, G23 + F23, G23)</f>
        <v/>
      </c>
      <c r="I23" s="15">
        <f>IF(D23&gt;0, H23 - D23, 0)</f>
        <v/>
      </c>
      <c r="J23" s="15">
        <f>Setup!$B$20</f>
        <v/>
      </c>
      <c r="K23" s="15">
        <f>IF(D23&gt;0, D23 - J23, 0)</f>
        <v/>
      </c>
      <c r="L23" s="8" t="inlineStr">
        <is>
          <t>REST DAY</t>
        </is>
      </c>
      <c r="M23" s="7" t="inlineStr">
        <is>
          <t>Rest Day Honored ❤️</t>
        </is>
      </c>
      <c r="N23" s="8" t="inlineStr"/>
    </row>
    <row r="24" ht="24" customHeight="1">
      <c r="A24" s="7" t="inlineStr">
        <is>
          <t>2026-11-15</t>
        </is>
      </c>
      <c r="B24" s="7" t="n">
        <v>23</v>
      </c>
      <c r="C24" s="7" t="inlineStr">
        <is>
          <t>Sunday</t>
        </is>
      </c>
      <c r="D24" s="15">
        <f>IFERROR(SUMIFS('Actual Food Log'!E:E, 'Actual Food Log'!A:A, A24), 0)</f>
        <v/>
      </c>
      <c r="E24" s="16">
        <f>IFERROR(SUMIFS('Actual Food Log'!F:F, 'Actual Food Log'!A:A, A24), 0)</f>
        <v/>
      </c>
      <c r="F24" s="15">
        <f>IFERROR(SUMIFS('Actual Exercise Log'!E:E, 'Actual Exercise Log'!A:A, A24), 0)</f>
        <v/>
      </c>
      <c r="G24" s="15">
        <f>Setup!$B$18</f>
        <v/>
      </c>
      <c r="H24" s="15">
        <f>IF(D24&gt;0, G24 + F24, G24)</f>
        <v/>
      </c>
      <c r="I24" s="15">
        <f>IF(D24&gt;0, H24 - D24, 0)</f>
        <v/>
      </c>
      <c r="J24" s="15">
        <f>Setup!$B$20</f>
        <v/>
      </c>
      <c r="K24" s="15">
        <f>IF(D24&gt;0, D24 - J24, 0)</f>
        <v/>
      </c>
      <c r="L24" s="8" t="inlineStr">
        <is>
          <t>REST DAY</t>
        </is>
      </c>
      <c r="M24" s="7" t="inlineStr">
        <is>
          <t>Rest Day Honored ❤️</t>
        </is>
      </c>
      <c r="N24" s="8" t="inlineStr"/>
    </row>
    <row r="25" ht="24" customHeight="1">
      <c r="A25" s="10" t="inlineStr">
        <is>
          <t>2026-11-16</t>
        </is>
      </c>
      <c r="B25" s="10" t="n">
        <v>24</v>
      </c>
      <c r="C25" s="10" t="inlineStr">
        <is>
          <t>Monday</t>
        </is>
      </c>
      <c r="D25" s="17">
        <f>IFERROR(SUMIFS('Actual Food Log'!E:E, 'Actual Food Log'!A:A, A25), 0)</f>
        <v/>
      </c>
      <c r="E25" s="18">
        <f>IFERROR(SUMIFS('Actual Food Log'!F:F, 'Actual Food Log'!A:A, A25), 0)</f>
        <v/>
      </c>
      <c r="F25" s="17">
        <f>IFERROR(SUMIFS('Actual Exercise Log'!E:E, 'Actual Exercise Log'!A:A, A25), 0)</f>
        <v/>
      </c>
      <c r="G25" s="17">
        <f>Setup!$B$18</f>
        <v/>
      </c>
      <c r="H25" s="17">
        <f>IF(D25&gt;0, G25 + F25, G25)</f>
        <v/>
      </c>
      <c r="I25" s="17">
        <f>IF(D25&gt;0, H25 - D25, 0)</f>
        <v/>
      </c>
      <c r="J25" s="17">
        <f>Setup!$B$20</f>
        <v/>
      </c>
      <c r="K25" s="17">
        <f>IF(D25&gt;0, D25 - J25, 0)</f>
        <v/>
      </c>
      <c r="L25" s="11" t="inlineStr">
        <is>
          <t>15-Min Joyful Beginner Bollywood Zumba Dance Party</t>
        </is>
      </c>
      <c r="M25" s="10" t="inlineStr">
        <is>
          <t>Pending</t>
        </is>
      </c>
      <c r="N25" s="11" t="inlineStr"/>
    </row>
    <row r="26" ht="24" customHeight="1">
      <c r="A26" s="10" t="inlineStr">
        <is>
          <t>2026-11-17</t>
        </is>
      </c>
      <c r="B26" s="10" t="n">
        <v>25</v>
      </c>
      <c r="C26" s="10" t="inlineStr">
        <is>
          <t>Tuesday</t>
        </is>
      </c>
      <c r="D26" s="17">
        <f>IFERROR(SUMIFS('Actual Food Log'!E:E, 'Actual Food Log'!A:A, A26), 0)</f>
        <v/>
      </c>
      <c r="E26" s="18">
        <f>IFERROR(SUMIFS('Actual Food Log'!F:F, 'Actual Food Log'!A:A, A26), 0)</f>
        <v/>
      </c>
      <c r="F26" s="17">
        <f>IFERROR(SUMIFS('Actual Exercise Log'!E:E, 'Actual Exercise Log'!A:A, A26), 0)</f>
        <v/>
      </c>
      <c r="G26" s="17">
        <f>Setup!$B$18</f>
        <v/>
      </c>
      <c r="H26" s="17">
        <f>IF(D26&gt;0, G26 + F26, G26)</f>
        <v/>
      </c>
      <c r="I26" s="17">
        <f>IF(D26&gt;0, H26 - D26, 0)</f>
        <v/>
      </c>
      <c r="J26" s="17">
        <f>Setup!$B$20</f>
        <v/>
      </c>
      <c r="K26" s="17">
        <f>IF(D26&gt;0, D26 - J26, 0)</f>
        <v/>
      </c>
      <c r="L26" s="11" t="inlineStr">
        <is>
          <t>15-Min Feel-Good Latin Zumba Party (Knee-Friendly, Low Impact)</t>
        </is>
      </c>
      <c r="M26" s="10" t="inlineStr">
        <is>
          <t>Pending</t>
        </is>
      </c>
      <c r="N26" s="11" t="inlineStr"/>
    </row>
    <row r="27" ht="24" customHeight="1">
      <c r="A27" s="7" t="inlineStr">
        <is>
          <t>2026-11-18</t>
        </is>
      </c>
      <c r="B27" s="7" t="n">
        <v>26</v>
      </c>
      <c r="C27" s="7" t="inlineStr">
        <is>
          <t>Wednesday</t>
        </is>
      </c>
      <c r="D27" s="15">
        <f>IFERROR(SUMIFS('Actual Food Log'!E:E, 'Actual Food Log'!A:A, A27), 0)</f>
        <v/>
      </c>
      <c r="E27" s="16">
        <f>IFERROR(SUMIFS('Actual Food Log'!F:F, 'Actual Food Log'!A:A, A27), 0)</f>
        <v/>
      </c>
      <c r="F27" s="15">
        <f>IFERROR(SUMIFS('Actual Exercise Log'!E:E, 'Actual Exercise Log'!A:A, A27), 0)</f>
        <v/>
      </c>
      <c r="G27" s="15">
        <f>Setup!$B$18</f>
        <v/>
      </c>
      <c r="H27" s="15">
        <f>IF(D27&gt;0, G27 + F27, G27)</f>
        <v/>
      </c>
      <c r="I27" s="15">
        <f>IF(D27&gt;0, H27 - D27, 0)</f>
        <v/>
      </c>
      <c r="J27" s="15">
        <f>Setup!$B$20</f>
        <v/>
      </c>
      <c r="K27" s="15">
        <f>IF(D27&gt;0, D27 - J27, 0)</f>
        <v/>
      </c>
      <c r="L27" s="8" t="inlineStr">
        <is>
          <t>REST DAY</t>
        </is>
      </c>
      <c r="M27" s="7" t="inlineStr">
        <is>
          <t>Rest Day Honored ❤️</t>
        </is>
      </c>
      <c r="N27" s="8" t="inlineStr"/>
    </row>
    <row r="28" ht="24" customHeight="1">
      <c r="A28" s="10" t="inlineStr">
        <is>
          <t>2026-11-19</t>
        </is>
      </c>
      <c r="B28" s="10" t="n">
        <v>27</v>
      </c>
      <c r="C28" s="10" t="inlineStr">
        <is>
          <t>Thursday</t>
        </is>
      </c>
      <c r="D28" s="17">
        <f>IFERROR(SUMIFS('Actual Food Log'!E:E, 'Actual Food Log'!A:A, A28), 0)</f>
        <v/>
      </c>
      <c r="E28" s="18">
        <f>IFERROR(SUMIFS('Actual Food Log'!F:F, 'Actual Food Log'!A:A, A28), 0)</f>
        <v/>
      </c>
      <c r="F28" s="17">
        <f>IFERROR(SUMIFS('Actual Exercise Log'!E:E, 'Actual Exercise Log'!A:A, A28), 0)</f>
        <v/>
      </c>
      <c r="G28" s="17">
        <f>Setup!$B$18</f>
        <v/>
      </c>
      <c r="H28" s="17">
        <f>IF(D28&gt;0, G28 + F28, G28)</f>
        <v/>
      </c>
      <c r="I28" s="17">
        <f>IF(D28&gt;0, H28 - D28, 0)</f>
        <v/>
      </c>
      <c r="J28" s="17">
        <f>Setup!$B$20</f>
        <v/>
      </c>
      <c r="K28" s="17">
        <f>IF(D28&gt;0, D28 - J28, 0)</f>
        <v/>
      </c>
      <c r="L28" s="11" t="inlineStr">
        <is>
          <t>15-Min Joyful Beginner Bollywood Zumba Dance Party</t>
        </is>
      </c>
      <c r="M28" s="10" t="inlineStr">
        <is>
          <t>Pending</t>
        </is>
      </c>
      <c r="N28" s="11" t="inlineStr"/>
    </row>
    <row r="29" ht="24" customHeight="1">
      <c r="A29" s="10" t="inlineStr">
        <is>
          <t>2026-11-20</t>
        </is>
      </c>
      <c r="B29" s="10" t="n">
        <v>28</v>
      </c>
      <c r="C29" s="10" t="inlineStr">
        <is>
          <t>Friday</t>
        </is>
      </c>
      <c r="D29" s="17">
        <f>IFERROR(SUMIFS('Actual Food Log'!E:E, 'Actual Food Log'!A:A, A29), 0)</f>
        <v/>
      </c>
      <c r="E29" s="18">
        <f>IFERROR(SUMIFS('Actual Food Log'!F:F, 'Actual Food Log'!A:A, A29), 0)</f>
        <v/>
      </c>
      <c r="F29" s="17">
        <f>IFERROR(SUMIFS('Actual Exercise Log'!E:E, 'Actual Exercise Log'!A:A, A29), 0)</f>
        <v/>
      </c>
      <c r="G29" s="17">
        <f>Setup!$B$18</f>
        <v/>
      </c>
      <c r="H29" s="17">
        <f>IF(D29&gt;0, G29 + F29, G29)</f>
        <v/>
      </c>
      <c r="I29" s="17">
        <f>IF(D29&gt;0, H29 - D29, 0)</f>
        <v/>
      </c>
      <c r="J29" s="17">
        <f>Setup!$B$20</f>
        <v/>
      </c>
      <c r="K29" s="17">
        <f>IF(D29&gt;0, D29 - J29, 0)</f>
        <v/>
      </c>
      <c r="L29" s="11" t="inlineStr">
        <is>
          <t>15-Min Feel-Good Latin Zumba Party (Knee-Friendly, Low Impact)</t>
        </is>
      </c>
      <c r="M29" s="10" t="inlineStr">
        <is>
          <t>Pending</t>
        </is>
      </c>
      <c r="N29" s="11" t="inlineStr"/>
    </row>
    <row r="30" ht="24" customHeight="1">
      <c r="A30" s="7" t="inlineStr">
        <is>
          <t>2026-11-21</t>
        </is>
      </c>
      <c r="B30" s="7" t="n">
        <v>29</v>
      </c>
      <c r="C30" s="7" t="inlineStr">
        <is>
          <t>Saturday</t>
        </is>
      </c>
      <c r="D30" s="15">
        <f>IFERROR(SUMIFS('Actual Food Log'!E:E, 'Actual Food Log'!A:A, A30), 0)</f>
        <v/>
      </c>
      <c r="E30" s="16">
        <f>IFERROR(SUMIFS('Actual Food Log'!F:F, 'Actual Food Log'!A:A, A30), 0)</f>
        <v/>
      </c>
      <c r="F30" s="15">
        <f>IFERROR(SUMIFS('Actual Exercise Log'!E:E, 'Actual Exercise Log'!A:A, A30), 0)</f>
        <v/>
      </c>
      <c r="G30" s="15">
        <f>Setup!$B$18</f>
        <v/>
      </c>
      <c r="H30" s="15">
        <f>IF(D30&gt;0, G30 + F30, G30)</f>
        <v/>
      </c>
      <c r="I30" s="15">
        <f>IF(D30&gt;0, H30 - D30, 0)</f>
        <v/>
      </c>
      <c r="J30" s="15">
        <f>Setup!$B$20</f>
        <v/>
      </c>
      <c r="K30" s="15">
        <f>IF(D30&gt;0, D30 - J30, 0)</f>
        <v/>
      </c>
      <c r="L30" s="8" t="inlineStr">
        <is>
          <t>REST DAY</t>
        </is>
      </c>
      <c r="M30" s="7" t="inlineStr">
        <is>
          <t>Rest Day Honored ❤️</t>
        </is>
      </c>
      <c r="N30" s="8" t="inlineStr"/>
    </row>
    <row r="31" ht="24" customHeight="1">
      <c r="A31" s="7" t="inlineStr">
        <is>
          <t>2026-11-22</t>
        </is>
      </c>
      <c r="B31" s="7" t="n">
        <v>30</v>
      </c>
      <c r="C31" s="7" t="inlineStr">
        <is>
          <t>Sunday</t>
        </is>
      </c>
      <c r="D31" s="15">
        <f>IFERROR(SUMIFS('Actual Food Log'!E:E, 'Actual Food Log'!A:A, A31), 0)</f>
        <v/>
      </c>
      <c r="E31" s="16">
        <f>IFERROR(SUMIFS('Actual Food Log'!F:F, 'Actual Food Log'!A:A, A31), 0)</f>
        <v/>
      </c>
      <c r="F31" s="15">
        <f>IFERROR(SUMIFS('Actual Exercise Log'!E:E, 'Actual Exercise Log'!A:A, A31), 0)</f>
        <v/>
      </c>
      <c r="G31" s="15">
        <f>Setup!$B$18</f>
        <v/>
      </c>
      <c r="H31" s="15">
        <f>IF(D31&gt;0, G31 + F31, G31)</f>
        <v/>
      </c>
      <c r="I31" s="15">
        <f>IF(D31&gt;0, H31 - D31, 0)</f>
        <v/>
      </c>
      <c r="J31" s="15">
        <f>Setup!$B$20</f>
        <v/>
      </c>
      <c r="K31" s="15">
        <f>IF(D31&gt;0, D31 - J31, 0)</f>
        <v/>
      </c>
      <c r="L31" s="8" t="inlineStr">
        <is>
          <t>REST DAY</t>
        </is>
      </c>
      <c r="M31" s="7" t="inlineStr">
        <is>
          <t>Rest Day Honored ❤️</t>
        </is>
      </c>
      <c r="N31" s="8" t="inlineStr"/>
    </row>
    <row r="32" ht="24" customHeight="1">
      <c r="A32" s="10" t="inlineStr">
        <is>
          <t>2026-11-23</t>
        </is>
      </c>
      <c r="B32" s="10" t="n">
        <v>31</v>
      </c>
      <c r="C32" s="10" t="inlineStr">
        <is>
          <t>Monday</t>
        </is>
      </c>
      <c r="D32" s="17">
        <f>IFERROR(SUMIFS('Actual Food Log'!E:E, 'Actual Food Log'!A:A, A32), 0)</f>
        <v/>
      </c>
      <c r="E32" s="18">
        <f>IFERROR(SUMIFS('Actual Food Log'!F:F, 'Actual Food Log'!A:A, A32), 0)</f>
        <v/>
      </c>
      <c r="F32" s="17">
        <f>IFERROR(SUMIFS('Actual Exercise Log'!E:E, 'Actual Exercise Log'!A:A, A32), 0)</f>
        <v/>
      </c>
      <c r="G32" s="17">
        <f>Setup!$B$18</f>
        <v/>
      </c>
      <c r="H32" s="17">
        <f>IF(D32&gt;0, G32 + F32, G32)</f>
        <v/>
      </c>
      <c r="I32" s="17">
        <f>IF(D32&gt;0, H32 - D32, 0)</f>
        <v/>
      </c>
      <c r="J32" s="17">
        <f>Setup!$B$20</f>
        <v/>
      </c>
      <c r="K32" s="17">
        <f>IF(D32&gt;0, D32 - J32, 0)</f>
        <v/>
      </c>
      <c r="L32" s="11" t="inlineStr">
        <is>
          <t>18-Min Upbeat Bollywood &amp; Latin Zumba Dance Cardio</t>
        </is>
      </c>
      <c r="M32" s="10" t="inlineStr">
        <is>
          <t>Pending</t>
        </is>
      </c>
      <c r="N32" s="11" t="inlineStr"/>
    </row>
    <row r="33" ht="24" customHeight="1">
      <c r="A33" s="10" t="inlineStr">
        <is>
          <t>2026-11-24</t>
        </is>
      </c>
      <c r="B33" s="10" t="n">
        <v>32</v>
      </c>
      <c r="C33" s="10" t="inlineStr">
        <is>
          <t>Tuesday</t>
        </is>
      </c>
      <c r="D33" s="17">
        <f>IFERROR(SUMIFS('Actual Food Log'!E:E, 'Actual Food Log'!A:A, A33), 0)</f>
        <v/>
      </c>
      <c r="E33" s="18">
        <f>IFERROR(SUMIFS('Actual Food Log'!F:F, 'Actual Food Log'!A:A, A33), 0)</f>
        <v/>
      </c>
      <c r="F33" s="17">
        <f>IFERROR(SUMIFS('Actual Exercise Log'!E:E, 'Actual Exercise Log'!A:A, A33), 0)</f>
        <v/>
      </c>
      <c r="G33" s="17">
        <f>Setup!$B$18</f>
        <v/>
      </c>
      <c r="H33" s="17">
        <f>IF(D33&gt;0, G33 + F33, G33)</f>
        <v/>
      </c>
      <c r="I33" s="17">
        <f>IF(D33&gt;0, H33 - D33, 0)</f>
        <v/>
      </c>
      <c r="J33" s="17">
        <f>Setup!$B$20</f>
        <v/>
      </c>
      <c r="K33" s="17">
        <f>IF(D33&gt;0, D33 - J33, 0)</f>
        <v/>
      </c>
      <c r="L33" s="11" t="inlineStr">
        <is>
          <t>18-Min Joyful Retro Pop &amp; Dance Hits Zumba Session</t>
        </is>
      </c>
      <c r="M33" s="10" t="inlineStr">
        <is>
          <t>Pending</t>
        </is>
      </c>
      <c r="N33" s="11" t="inlineStr"/>
    </row>
    <row r="34" ht="24" customHeight="1">
      <c r="A34" s="7" t="inlineStr">
        <is>
          <t>2026-11-25</t>
        </is>
      </c>
      <c r="B34" s="7" t="n">
        <v>33</v>
      </c>
      <c r="C34" s="7" t="inlineStr">
        <is>
          <t>Wednesday</t>
        </is>
      </c>
      <c r="D34" s="15">
        <f>IFERROR(SUMIFS('Actual Food Log'!E:E, 'Actual Food Log'!A:A, A34), 0)</f>
        <v/>
      </c>
      <c r="E34" s="16">
        <f>IFERROR(SUMIFS('Actual Food Log'!F:F, 'Actual Food Log'!A:A, A34), 0)</f>
        <v/>
      </c>
      <c r="F34" s="15">
        <f>IFERROR(SUMIFS('Actual Exercise Log'!E:E, 'Actual Exercise Log'!A:A, A34), 0)</f>
        <v/>
      </c>
      <c r="G34" s="15">
        <f>Setup!$B$18</f>
        <v/>
      </c>
      <c r="H34" s="15">
        <f>IF(D34&gt;0, G34 + F34, G34)</f>
        <v/>
      </c>
      <c r="I34" s="15">
        <f>IF(D34&gt;0, H34 - D34, 0)</f>
        <v/>
      </c>
      <c r="J34" s="15">
        <f>Setup!$B$20</f>
        <v/>
      </c>
      <c r="K34" s="15">
        <f>IF(D34&gt;0, D34 - J34, 0)</f>
        <v/>
      </c>
      <c r="L34" s="8" t="inlineStr">
        <is>
          <t>REST DAY</t>
        </is>
      </c>
      <c r="M34" s="7" t="inlineStr">
        <is>
          <t>Rest Day Honored ❤️</t>
        </is>
      </c>
      <c r="N34" s="8" t="inlineStr"/>
    </row>
    <row r="35" ht="24" customHeight="1">
      <c r="A35" s="10" t="inlineStr">
        <is>
          <t>2026-11-26</t>
        </is>
      </c>
      <c r="B35" s="10" t="n">
        <v>34</v>
      </c>
      <c r="C35" s="10" t="inlineStr">
        <is>
          <t>Thursday</t>
        </is>
      </c>
      <c r="D35" s="17">
        <f>IFERROR(SUMIFS('Actual Food Log'!E:E, 'Actual Food Log'!A:A, A35), 0)</f>
        <v/>
      </c>
      <c r="E35" s="18">
        <f>IFERROR(SUMIFS('Actual Food Log'!F:F, 'Actual Food Log'!A:A, A35), 0)</f>
        <v/>
      </c>
      <c r="F35" s="17">
        <f>IFERROR(SUMIFS('Actual Exercise Log'!E:E, 'Actual Exercise Log'!A:A, A35), 0)</f>
        <v/>
      </c>
      <c r="G35" s="17">
        <f>Setup!$B$18</f>
        <v/>
      </c>
      <c r="H35" s="17">
        <f>IF(D35&gt;0, G35 + F35, G35)</f>
        <v/>
      </c>
      <c r="I35" s="17">
        <f>IF(D35&gt;0, H35 - D35, 0)</f>
        <v/>
      </c>
      <c r="J35" s="17">
        <f>Setup!$B$20</f>
        <v/>
      </c>
      <c r="K35" s="17">
        <f>IF(D35&gt;0, D35 - J35, 0)</f>
        <v/>
      </c>
      <c r="L35" s="11" t="inlineStr">
        <is>
          <t>18-Min Upbeat Bollywood &amp; Latin Zumba Dance Cardio</t>
        </is>
      </c>
      <c r="M35" s="10" t="inlineStr">
        <is>
          <t>Pending</t>
        </is>
      </c>
      <c r="N35" s="11" t="inlineStr"/>
    </row>
    <row r="36" ht="24" customHeight="1">
      <c r="A36" s="10" t="inlineStr">
        <is>
          <t>2026-11-27</t>
        </is>
      </c>
      <c r="B36" s="10" t="n">
        <v>35</v>
      </c>
      <c r="C36" s="10" t="inlineStr">
        <is>
          <t>Friday</t>
        </is>
      </c>
      <c r="D36" s="17">
        <f>IFERROR(SUMIFS('Actual Food Log'!E:E, 'Actual Food Log'!A:A, A36), 0)</f>
        <v/>
      </c>
      <c r="E36" s="18">
        <f>IFERROR(SUMIFS('Actual Food Log'!F:F, 'Actual Food Log'!A:A, A36), 0)</f>
        <v/>
      </c>
      <c r="F36" s="17">
        <f>IFERROR(SUMIFS('Actual Exercise Log'!E:E, 'Actual Exercise Log'!A:A, A36), 0)</f>
        <v/>
      </c>
      <c r="G36" s="17">
        <f>Setup!$B$18</f>
        <v/>
      </c>
      <c r="H36" s="17">
        <f>IF(D36&gt;0, G36 + F36, G36)</f>
        <v/>
      </c>
      <c r="I36" s="17">
        <f>IF(D36&gt;0, H36 - D36, 0)</f>
        <v/>
      </c>
      <c r="J36" s="17">
        <f>Setup!$B$20</f>
        <v/>
      </c>
      <c r="K36" s="17">
        <f>IF(D36&gt;0, D36 - J36, 0)</f>
        <v/>
      </c>
      <c r="L36" s="11" t="inlineStr">
        <is>
          <t>18-Min Joyful Retro Pop &amp; Dance Hits Zumba Session</t>
        </is>
      </c>
      <c r="M36" s="10" t="inlineStr">
        <is>
          <t>Pending</t>
        </is>
      </c>
      <c r="N36" s="11" t="inlineStr"/>
    </row>
    <row r="37" ht="24" customHeight="1">
      <c r="A37" s="7" t="inlineStr">
        <is>
          <t>2026-11-28</t>
        </is>
      </c>
      <c r="B37" s="7" t="n">
        <v>36</v>
      </c>
      <c r="C37" s="7" t="inlineStr">
        <is>
          <t>Saturday</t>
        </is>
      </c>
      <c r="D37" s="15">
        <f>IFERROR(SUMIFS('Actual Food Log'!E:E, 'Actual Food Log'!A:A, A37), 0)</f>
        <v/>
      </c>
      <c r="E37" s="16">
        <f>IFERROR(SUMIFS('Actual Food Log'!F:F, 'Actual Food Log'!A:A, A37), 0)</f>
        <v/>
      </c>
      <c r="F37" s="15">
        <f>IFERROR(SUMIFS('Actual Exercise Log'!E:E, 'Actual Exercise Log'!A:A, A37), 0)</f>
        <v/>
      </c>
      <c r="G37" s="15">
        <f>Setup!$B$18</f>
        <v/>
      </c>
      <c r="H37" s="15">
        <f>IF(D37&gt;0, G37 + F37, G37)</f>
        <v/>
      </c>
      <c r="I37" s="15">
        <f>IF(D37&gt;0, H37 - D37, 0)</f>
        <v/>
      </c>
      <c r="J37" s="15">
        <f>Setup!$B$20</f>
        <v/>
      </c>
      <c r="K37" s="15">
        <f>IF(D37&gt;0, D37 - J37, 0)</f>
        <v/>
      </c>
      <c r="L37" s="8" t="inlineStr">
        <is>
          <t>REST DAY</t>
        </is>
      </c>
      <c r="M37" s="7" t="inlineStr">
        <is>
          <t>Rest Day Honored ❤️</t>
        </is>
      </c>
      <c r="N37" s="8" t="inlineStr"/>
    </row>
    <row r="38" ht="24" customHeight="1">
      <c r="A38" s="7" t="inlineStr">
        <is>
          <t>2026-11-29</t>
        </is>
      </c>
      <c r="B38" s="7" t="n">
        <v>37</v>
      </c>
      <c r="C38" s="7" t="inlineStr">
        <is>
          <t>Sunday</t>
        </is>
      </c>
      <c r="D38" s="15">
        <f>IFERROR(SUMIFS('Actual Food Log'!E:E, 'Actual Food Log'!A:A, A38), 0)</f>
        <v/>
      </c>
      <c r="E38" s="16">
        <f>IFERROR(SUMIFS('Actual Food Log'!F:F, 'Actual Food Log'!A:A, A38), 0)</f>
        <v/>
      </c>
      <c r="F38" s="15">
        <f>IFERROR(SUMIFS('Actual Exercise Log'!E:E, 'Actual Exercise Log'!A:A, A38), 0)</f>
        <v/>
      </c>
      <c r="G38" s="15">
        <f>Setup!$B$18</f>
        <v/>
      </c>
      <c r="H38" s="15">
        <f>IF(D38&gt;0, G38 + F38, G38)</f>
        <v/>
      </c>
      <c r="I38" s="15">
        <f>IF(D38&gt;0, H38 - D38, 0)</f>
        <v/>
      </c>
      <c r="J38" s="15">
        <f>Setup!$B$20</f>
        <v/>
      </c>
      <c r="K38" s="15">
        <f>IF(D38&gt;0, D38 - J38, 0)</f>
        <v/>
      </c>
      <c r="L38" s="8" t="inlineStr">
        <is>
          <t>REST DAY</t>
        </is>
      </c>
      <c r="M38" s="7" t="inlineStr">
        <is>
          <t>Rest Day Honored ❤️</t>
        </is>
      </c>
      <c r="N38" s="8" t="inlineStr"/>
    </row>
    <row r="39" ht="24" customHeight="1">
      <c r="A39" s="10" t="inlineStr">
        <is>
          <t>2026-11-30</t>
        </is>
      </c>
      <c r="B39" s="10" t="n">
        <v>38</v>
      </c>
      <c r="C39" s="10" t="inlineStr">
        <is>
          <t>Monday</t>
        </is>
      </c>
      <c r="D39" s="17">
        <f>IFERROR(SUMIFS('Actual Food Log'!E:E, 'Actual Food Log'!A:A, A39), 0)</f>
        <v/>
      </c>
      <c r="E39" s="18">
        <f>IFERROR(SUMIFS('Actual Food Log'!F:F, 'Actual Food Log'!A:A, A39), 0)</f>
        <v/>
      </c>
      <c r="F39" s="17">
        <f>IFERROR(SUMIFS('Actual Exercise Log'!E:E, 'Actual Exercise Log'!A:A, A39), 0)</f>
        <v/>
      </c>
      <c r="G39" s="17">
        <f>Setup!$B$18</f>
        <v/>
      </c>
      <c r="H39" s="17">
        <f>IF(D39&gt;0, G39 + F39, G39)</f>
        <v/>
      </c>
      <c r="I39" s="17">
        <f>IF(D39&gt;0, H39 - D39, 0)</f>
        <v/>
      </c>
      <c r="J39" s="17">
        <f>Setup!$B$20</f>
        <v/>
      </c>
      <c r="K39" s="17">
        <f>IF(D39&gt;0, D39 - J39, 0)</f>
        <v/>
      </c>
      <c r="L39" s="11" t="inlineStr">
        <is>
          <t>18-Min Upbeat Bollywood &amp; Latin Zumba Dance Cardio</t>
        </is>
      </c>
      <c r="M39" s="10" t="inlineStr">
        <is>
          <t>Pending</t>
        </is>
      </c>
      <c r="N39" s="11" t="inlineStr"/>
    </row>
    <row r="40" ht="24" customHeight="1">
      <c r="A40" s="10" t="inlineStr">
        <is>
          <t>2026-12-01</t>
        </is>
      </c>
      <c r="B40" s="10" t="n">
        <v>39</v>
      </c>
      <c r="C40" s="10" t="inlineStr">
        <is>
          <t>Tuesday</t>
        </is>
      </c>
      <c r="D40" s="17">
        <f>IFERROR(SUMIFS('Actual Food Log'!E:E, 'Actual Food Log'!A:A, A40), 0)</f>
        <v/>
      </c>
      <c r="E40" s="18">
        <f>IFERROR(SUMIFS('Actual Food Log'!F:F, 'Actual Food Log'!A:A, A40), 0)</f>
        <v/>
      </c>
      <c r="F40" s="17">
        <f>IFERROR(SUMIFS('Actual Exercise Log'!E:E, 'Actual Exercise Log'!A:A, A40), 0)</f>
        <v/>
      </c>
      <c r="G40" s="17">
        <f>Setup!$B$18</f>
        <v/>
      </c>
      <c r="H40" s="17">
        <f>IF(D40&gt;0, G40 + F40, G40)</f>
        <v/>
      </c>
      <c r="I40" s="17">
        <f>IF(D40&gt;0, H40 - D40, 0)</f>
        <v/>
      </c>
      <c r="J40" s="17">
        <f>Setup!$B$20</f>
        <v/>
      </c>
      <c r="K40" s="17">
        <f>IF(D40&gt;0, D40 - J40, 0)</f>
        <v/>
      </c>
      <c r="L40" s="11" t="inlineStr">
        <is>
          <t>18-Min Joyful Retro Pop &amp; Dance Hits Zumba Session</t>
        </is>
      </c>
      <c r="M40" s="10" t="inlineStr">
        <is>
          <t>Pending</t>
        </is>
      </c>
      <c r="N40" s="11" t="inlineStr"/>
    </row>
    <row r="41" ht="24" customHeight="1">
      <c r="A41" s="7" t="inlineStr">
        <is>
          <t>2026-12-02</t>
        </is>
      </c>
      <c r="B41" s="7" t="n">
        <v>40</v>
      </c>
      <c r="C41" s="7" t="inlineStr">
        <is>
          <t>Wednesday</t>
        </is>
      </c>
      <c r="D41" s="15">
        <f>IFERROR(SUMIFS('Actual Food Log'!E:E, 'Actual Food Log'!A:A, A41), 0)</f>
        <v/>
      </c>
      <c r="E41" s="16">
        <f>IFERROR(SUMIFS('Actual Food Log'!F:F, 'Actual Food Log'!A:A, A41), 0)</f>
        <v/>
      </c>
      <c r="F41" s="15">
        <f>IFERROR(SUMIFS('Actual Exercise Log'!E:E, 'Actual Exercise Log'!A:A, A41), 0)</f>
        <v/>
      </c>
      <c r="G41" s="15">
        <f>Setup!$B$18</f>
        <v/>
      </c>
      <c r="H41" s="15">
        <f>IF(D41&gt;0, G41 + F41, G41)</f>
        <v/>
      </c>
      <c r="I41" s="15">
        <f>IF(D41&gt;0, H41 - D41, 0)</f>
        <v/>
      </c>
      <c r="J41" s="15">
        <f>Setup!$B$20</f>
        <v/>
      </c>
      <c r="K41" s="15">
        <f>IF(D41&gt;0, D41 - J41, 0)</f>
        <v/>
      </c>
      <c r="L41" s="8" t="inlineStr">
        <is>
          <t>REST DAY</t>
        </is>
      </c>
      <c r="M41" s="7" t="inlineStr">
        <is>
          <t>Rest Day Honored ❤️</t>
        </is>
      </c>
      <c r="N41" s="8" t="inlineStr"/>
    </row>
    <row r="42" ht="24" customHeight="1">
      <c r="A42" s="10" t="inlineStr">
        <is>
          <t>2026-12-03</t>
        </is>
      </c>
      <c r="B42" s="10" t="n">
        <v>41</v>
      </c>
      <c r="C42" s="10" t="inlineStr">
        <is>
          <t>Thursday</t>
        </is>
      </c>
      <c r="D42" s="17">
        <f>IFERROR(SUMIFS('Actual Food Log'!E:E, 'Actual Food Log'!A:A, A42), 0)</f>
        <v/>
      </c>
      <c r="E42" s="18">
        <f>IFERROR(SUMIFS('Actual Food Log'!F:F, 'Actual Food Log'!A:A, A42), 0)</f>
        <v/>
      </c>
      <c r="F42" s="17">
        <f>IFERROR(SUMIFS('Actual Exercise Log'!E:E, 'Actual Exercise Log'!A:A, A42), 0)</f>
        <v/>
      </c>
      <c r="G42" s="17">
        <f>Setup!$B$18</f>
        <v/>
      </c>
      <c r="H42" s="17">
        <f>IF(D42&gt;0, G42 + F42, G42)</f>
        <v/>
      </c>
      <c r="I42" s="17">
        <f>IF(D42&gt;0, H42 - D42, 0)</f>
        <v/>
      </c>
      <c r="J42" s="17">
        <f>Setup!$B$20</f>
        <v/>
      </c>
      <c r="K42" s="17">
        <f>IF(D42&gt;0, D42 - J42, 0)</f>
        <v/>
      </c>
      <c r="L42" s="11" t="inlineStr">
        <is>
          <t>18-Min Upbeat Bollywood &amp; Latin Zumba Dance Cardio</t>
        </is>
      </c>
      <c r="M42" s="10" t="inlineStr">
        <is>
          <t>Pending</t>
        </is>
      </c>
      <c r="N42" s="11" t="inlineStr"/>
    </row>
    <row r="43" ht="24" customHeight="1">
      <c r="A43" s="10" t="inlineStr">
        <is>
          <t>2026-12-04</t>
        </is>
      </c>
      <c r="B43" s="10" t="n">
        <v>42</v>
      </c>
      <c r="C43" s="10" t="inlineStr">
        <is>
          <t>Friday</t>
        </is>
      </c>
      <c r="D43" s="17">
        <f>IFERROR(SUMIFS('Actual Food Log'!E:E, 'Actual Food Log'!A:A, A43), 0)</f>
        <v/>
      </c>
      <c r="E43" s="18">
        <f>IFERROR(SUMIFS('Actual Food Log'!F:F, 'Actual Food Log'!A:A, A43), 0)</f>
        <v/>
      </c>
      <c r="F43" s="17">
        <f>IFERROR(SUMIFS('Actual Exercise Log'!E:E, 'Actual Exercise Log'!A:A, A43), 0)</f>
        <v/>
      </c>
      <c r="G43" s="17">
        <f>Setup!$B$18</f>
        <v/>
      </c>
      <c r="H43" s="17">
        <f>IF(D43&gt;0, G43 + F43, G43)</f>
        <v/>
      </c>
      <c r="I43" s="17">
        <f>IF(D43&gt;0, H43 - D43, 0)</f>
        <v/>
      </c>
      <c r="J43" s="17">
        <f>Setup!$B$20</f>
        <v/>
      </c>
      <c r="K43" s="17">
        <f>IF(D43&gt;0, D43 - J43, 0)</f>
        <v/>
      </c>
      <c r="L43" s="11" t="inlineStr">
        <is>
          <t>18-Min Joyful Retro Pop &amp; Dance Hits Zumba Session</t>
        </is>
      </c>
      <c r="M43" s="10" t="inlineStr">
        <is>
          <t>Pending</t>
        </is>
      </c>
      <c r="N43" s="11" t="inlineStr"/>
    </row>
    <row r="44" ht="24" customHeight="1">
      <c r="A44" s="7" t="inlineStr">
        <is>
          <t>2026-12-05</t>
        </is>
      </c>
      <c r="B44" s="7" t="n">
        <v>43</v>
      </c>
      <c r="C44" s="7" t="inlineStr">
        <is>
          <t>Saturday</t>
        </is>
      </c>
      <c r="D44" s="15">
        <f>IFERROR(SUMIFS('Actual Food Log'!E:E, 'Actual Food Log'!A:A, A44), 0)</f>
        <v/>
      </c>
      <c r="E44" s="16">
        <f>IFERROR(SUMIFS('Actual Food Log'!F:F, 'Actual Food Log'!A:A, A44), 0)</f>
        <v/>
      </c>
      <c r="F44" s="15">
        <f>IFERROR(SUMIFS('Actual Exercise Log'!E:E, 'Actual Exercise Log'!A:A, A44), 0)</f>
        <v/>
      </c>
      <c r="G44" s="15">
        <f>Setup!$B$18</f>
        <v/>
      </c>
      <c r="H44" s="15">
        <f>IF(D44&gt;0, G44 + F44, G44)</f>
        <v/>
      </c>
      <c r="I44" s="15">
        <f>IF(D44&gt;0, H44 - D44, 0)</f>
        <v/>
      </c>
      <c r="J44" s="15">
        <f>Setup!$B$20</f>
        <v/>
      </c>
      <c r="K44" s="15">
        <f>IF(D44&gt;0, D44 - J44, 0)</f>
        <v/>
      </c>
      <c r="L44" s="8" t="inlineStr">
        <is>
          <t>REST DAY</t>
        </is>
      </c>
      <c r="M44" s="7" t="inlineStr">
        <is>
          <t>Rest Day Honored ❤️</t>
        </is>
      </c>
      <c r="N44" s="8" t="inlineStr"/>
    </row>
    <row r="45" ht="24" customHeight="1">
      <c r="A45" s="7" t="inlineStr">
        <is>
          <t>2026-12-06</t>
        </is>
      </c>
      <c r="B45" s="7" t="n">
        <v>44</v>
      </c>
      <c r="C45" s="7" t="inlineStr">
        <is>
          <t>Sunday</t>
        </is>
      </c>
      <c r="D45" s="15">
        <f>IFERROR(SUMIFS('Actual Food Log'!E:E, 'Actual Food Log'!A:A, A45), 0)</f>
        <v/>
      </c>
      <c r="E45" s="16">
        <f>IFERROR(SUMIFS('Actual Food Log'!F:F, 'Actual Food Log'!A:A, A45), 0)</f>
        <v/>
      </c>
      <c r="F45" s="15">
        <f>IFERROR(SUMIFS('Actual Exercise Log'!E:E, 'Actual Exercise Log'!A:A, A45), 0)</f>
        <v/>
      </c>
      <c r="G45" s="15">
        <f>Setup!$B$18</f>
        <v/>
      </c>
      <c r="H45" s="15">
        <f>IF(D45&gt;0, G45 + F45, G45)</f>
        <v/>
      </c>
      <c r="I45" s="15">
        <f>IF(D45&gt;0, H45 - D45, 0)</f>
        <v/>
      </c>
      <c r="J45" s="15">
        <f>Setup!$B$20</f>
        <v/>
      </c>
      <c r="K45" s="15">
        <f>IF(D45&gt;0, D45 - J45, 0)</f>
        <v/>
      </c>
      <c r="L45" s="8" t="inlineStr">
        <is>
          <t>REST DAY</t>
        </is>
      </c>
      <c r="M45" s="7" t="inlineStr">
        <is>
          <t>Rest Day Honored ❤️</t>
        </is>
      </c>
      <c r="N45" s="8" t="inlineStr"/>
    </row>
    <row r="46" ht="24" customHeight="1">
      <c r="A46" s="10" t="inlineStr">
        <is>
          <t>2026-12-07</t>
        </is>
      </c>
      <c r="B46" s="10" t="n">
        <v>45</v>
      </c>
      <c r="C46" s="10" t="inlineStr">
        <is>
          <t>Monday</t>
        </is>
      </c>
      <c r="D46" s="17">
        <f>IFERROR(SUMIFS('Actual Food Log'!E:E, 'Actual Food Log'!A:A, A46), 0)</f>
        <v/>
      </c>
      <c r="E46" s="18">
        <f>IFERROR(SUMIFS('Actual Food Log'!F:F, 'Actual Food Log'!A:A, A46), 0)</f>
        <v/>
      </c>
      <c r="F46" s="17">
        <f>IFERROR(SUMIFS('Actual Exercise Log'!E:E, 'Actual Exercise Log'!A:A, A46), 0)</f>
        <v/>
      </c>
      <c r="G46" s="17">
        <f>Setup!$B$18</f>
        <v/>
      </c>
      <c r="H46" s="17">
        <f>IF(D46&gt;0, G46 + F46, G46)</f>
        <v/>
      </c>
      <c r="I46" s="17">
        <f>IF(D46&gt;0, H46 - D46, 0)</f>
        <v/>
      </c>
      <c r="J46" s="17">
        <f>Setup!$B$20</f>
        <v/>
      </c>
      <c r="K46" s="17">
        <f>IF(D46&gt;0, D46 - J46, 0)</f>
        <v/>
      </c>
      <c r="L46" s="11" t="inlineStr">
        <is>
          <t>18-Min Upbeat Bollywood &amp; Latin Zumba Dance Cardio</t>
        </is>
      </c>
      <c r="M46" s="10" t="inlineStr">
        <is>
          <t>Pending</t>
        </is>
      </c>
      <c r="N46" s="11" t="inlineStr"/>
    </row>
    <row r="47" ht="24" customHeight="1">
      <c r="A47" s="10" t="inlineStr">
        <is>
          <t>2026-12-08</t>
        </is>
      </c>
      <c r="B47" s="10" t="n">
        <v>46</v>
      </c>
      <c r="C47" s="10" t="inlineStr">
        <is>
          <t>Tuesday</t>
        </is>
      </c>
      <c r="D47" s="17">
        <f>IFERROR(SUMIFS('Actual Food Log'!E:E, 'Actual Food Log'!A:A, A47), 0)</f>
        <v/>
      </c>
      <c r="E47" s="18">
        <f>IFERROR(SUMIFS('Actual Food Log'!F:F, 'Actual Food Log'!A:A, A47), 0)</f>
        <v/>
      </c>
      <c r="F47" s="17">
        <f>IFERROR(SUMIFS('Actual Exercise Log'!E:E, 'Actual Exercise Log'!A:A, A47), 0)</f>
        <v/>
      </c>
      <c r="G47" s="17">
        <f>Setup!$B$18</f>
        <v/>
      </c>
      <c r="H47" s="17">
        <f>IF(D47&gt;0, G47 + F47, G47)</f>
        <v/>
      </c>
      <c r="I47" s="17">
        <f>IF(D47&gt;0, H47 - D47, 0)</f>
        <v/>
      </c>
      <c r="J47" s="17">
        <f>Setup!$B$20</f>
        <v/>
      </c>
      <c r="K47" s="17">
        <f>IF(D47&gt;0, D47 - J47, 0)</f>
        <v/>
      </c>
      <c r="L47" s="11" t="inlineStr">
        <is>
          <t>18-Min Joyful Retro Pop &amp; Dance Hits Zumba Session</t>
        </is>
      </c>
      <c r="M47" s="10" t="inlineStr">
        <is>
          <t>Pending</t>
        </is>
      </c>
      <c r="N47" s="11" t="inlineStr"/>
    </row>
    <row r="48" ht="24" customHeight="1">
      <c r="A48" s="7" t="inlineStr">
        <is>
          <t>2026-12-09</t>
        </is>
      </c>
      <c r="B48" s="7" t="n">
        <v>47</v>
      </c>
      <c r="C48" s="7" t="inlineStr">
        <is>
          <t>Wednesday</t>
        </is>
      </c>
      <c r="D48" s="15">
        <f>IFERROR(SUMIFS('Actual Food Log'!E:E, 'Actual Food Log'!A:A, A48), 0)</f>
        <v/>
      </c>
      <c r="E48" s="16">
        <f>IFERROR(SUMIFS('Actual Food Log'!F:F, 'Actual Food Log'!A:A, A48), 0)</f>
        <v/>
      </c>
      <c r="F48" s="15">
        <f>IFERROR(SUMIFS('Actual Exercise Log'!E:E, 'Actual Exercise Log'!A:A, A48), 0)</f>
        <v/>
      </c>
      <c r="G48" s="15">
        <f>Setup!$B$18</f>
        <v/>
      </c>
      <c r="H48" s="15">
        <f>IF(D48&gt;0, G48 + F48, G48)</f>
        <v/>
      </c>
      <c r="I48" s="15">
        <f>IF(D48&gt;0, H48 - D48, 0)</f>
        <v/>
      </c>
      <c r="J48" s="15">
        <f>Setup!$B$20</f>
        <v/>
      </c>
      <c r="K48" s="15">
        <f>IF(D48&gt;0, D48 - J48, 0)</f>
        <v/>
      </c>
      <c r="L48" s="8" t="inlineStr">
        <is>
          <t>REST DAY</t>
        </is>
      </c>
      <c r="M48" s="7" t="inlineStr">
        <is>
          <t>Rest Day Honored ❤️</t>
        </is>
      </c>
      <c r="N48" s="8" t="inlineStr"/>
    </row>
    <row r="49" ht="24" customHeight="1">
      <c r="A49" s="10" t="inlineStr">
        <is>
          <t>2026-12-10</t>
        </is>
      </c>
      <c r="B49" s="10" t="n">
        <v>48</v>
      </c>
      <c r="C49" s="10" t="inlineStr">
        <is>
          <t>Thursday</t>
        </is>
      </c>
      <c r="D49" s="17">
        <f>IFERROR(SUMIFS('Actual Food Log'!E:E, 'Actual Food Log'!A:A, A49), 0)</f>
        <v/>
      </c>
      <c r="E49" s="18">
        <f>IFERROR(SUMIFS('Actual Food Log'!F:F, 'Actual Food Log'!A:A, A49), 0)</f>
        <v/>
      </c>
      <c r="F49" s="17">
        <f>IFERROR(SUMIFS('Actual Exercise Log'!E:E, 'Actual Exercise Log'!A:A, A49), 0)</f>
        <v/>
      </c>
      <c r="G49" s="17">
        <f>Setup!$B$18</f>
        <v/>
      </c>
      <c r="H49" s="17">
        <f>IF(D49&gt;0, G49 + F49, G49)</f>
        <v/>
      </c>
      <c r="I49" s="17">
        <f>IF(D49&gt;0, H49 - D49, 0)</f>
        <v/>
      </c>
      <c r="J49" s="17">
        <f>Setup!$B$20</f>
        <v/>
      </c>
      <c r="K49" s="17">
        <f>IF(D49&gt;0, D49 - J49, 0)</f>
        <v/>
      </c>
      <c r="L49" s="11" t="inlineStr">
        <is>
          <t>18-Min Upbeat Bollywood &amp; Latin Zumba Dance Cardio</t>
        </is>
      </c>
      <c r="M49" s="10" t="inlineStr">
        <is>
          <t>Pending</t>
        </is>
      </c>
      <c r="N49" s="11" t="inlineStr"/>
    </row>
    <row r="50" ht="24" customHeight="1">
      <c r="A50" s="10" t="inlineStr">
        <is>
          <t>2026-12-11</t>
        </is>
      </c>
      <c r="B50" s="10" t="n">
        <v>49</v>
      </c>
      <c r="C50" s="10" t="inlineStr">
        <is>
          <t>Friday</t>
        </is>
      </c>
      <c r="D50" s="17">
        <f>IFERROR(SUMIFS('Actual Food Log'!E:E, 'Actual Food Log'!A:A, A50), 0)</f>
        <v/>
      </c>
      <c r="E50" s="18">
        <f>IFERROR(SUMIFS('Actual Food Log'!F:F, 'Actual Food Log'!A:A, A50), 0)</f>
        <v/>
      </c>
      <c r="F50" s="17">
        <f>IFERROR(SUMIFS('Actual Exercise Log'!E:E, 'Actual Exercise Log'!A:A, A50), 0)</f>
        <v/>
      </c>
      <c r="G50" s="17">
        <f>Setup!$B$18</f>
        <v/>
      </c>
      <c r="H50" s="17">
        <f>IF(D50&gt;0, G50 + F50, G50)</f>
        <v/>
      </c>
      <c r="I50" s="17">
        <f>IF(D50&gt;0, H50 - D50, 0)</f>
        <v/>
      </c>
      <c r="J50" s="17">
        <f>Setup!$B$20</f>
        <v/>
      </c>
      <c r="K50" s="17">
        <f>IF(D50&gt;0, D50 - J50, 0)</f>
        <v/>
      </c>
      <c r="L50" s="11" t="inlineStr">
        <is>
          <t>18-Min Joyful Retro Pop &amp; Dance Hits Zumba Session</t>
        </is>
      </c>
      <c r="M50" s="10" t="inlineStr">
        <is>
          <t>Pending</t>
        </is>
      </c>
      <c r="N50" s="11" t="inlineStr"/>
    </row>
    <row r="51" ht="24" customHeight="1">
      <c r="A51" s="7" t="inlineStr">
        <is>
          <t>2026-12-12</t>
        </is>
      </c>
      <c r="B51" s="7" t="n">
        <v>50</v>
      </c>
      <c r="C51" s="7" t="inlineStr">
        <is>
          <t>Saturday</t>
        </is>
      </c>
      <c r="D51" s="15">
        <f>IFERROR(SUMIFS('Actual Food Log'!E:E, 'Actual Food Log'!A:A, A51), 0)</f>
        <v/>
      </c>
      <c r="E51" s="16">
        <f>IFERROR(SUMIFS('Actual Food Log'!F:F, 'Actual Food Log'!A:A, A51), 0)</f>
        <v/>
      </c>
      <c r="F51" s="15">
        <f>IFERROR(SUMIFS('Actual Exercise Log'!E:E, 'Actual Exercise Log'!A:A, A51), 0)</f>
        <v/>
      </c>
      <c r="G51" s="15">
        <f>Setup!$B$18</f>
        <v/>
      </c>
      <c r="H51" s="15">
        <f>IF(D51&gt;0, G51 + F51, G51)</f>
        <v/>
      </c>
      <c r="I51" s="15">
        <f>IF(D51&gt;0, H51 - D51, 0)</f>
        <v/>
      </c>
      <c r="J51" s="15">
        <f>Setup!$B$20</f>
        <v/>
      </c>
      <c r="K51" s="15">
        <f>IF(D51&gt;0, D51 - J51, 0)</f>
        <v/>
      </c>
      <c r="L51" s="8" t="inlineStr">
        <is>
          <t>REST DAY</t>
        </is>
      </c>
      <c r="M51" s="7" t="inlineStr">
        <is>
          <t>Rest Day Honored ❤️</t>
        </is>
      </c>
      <c r="N51" s="8" t="inlineStr"/>
    </row>
    <row r="52" ht="24" customHeight="1">
      <c r="A52" s="7" t="inlineStr">
        <is>
          <t>2026-12-13</t>
        </is>
      </c>
      <c r="B52" s="7" t="n">
        <v>51</v>
      </c>
      <c r="C52" s="7" t="inlineStr">
        <is>
          <t>Sunday</t>
        </is>
      </c>
      <c r="D52" s="15">
        <f>IFERROR(SUMIFS('Actual Food Log'!E:E, 'Actual Food Log'!A:A, A52), 0)</f>
        <v/>
      </c>
      <c r="E52" s="16">
        <f>IFERROR(SUMIFS('Actual Food Log'!F:F, 'Actual Food Log'!A:A, A52), 0)</f>
        <v/>
      </c>
      <c r="F52" s="15">
        <f>IFERROR(SUMIFS('Actual Exercise Log'!E:E, 'Actual Exercise Log'!A:A, A52), 0)</f>
        <v/>
      </c>
      <c r="G52" s="15">
        <f>Setup!$B$18</f>
        <v/>
      </c>
      <c r="H52" s="15">
        <f>IF(D52&gt;0, G52 + F52, G52)</f>
        <v/>
      </c>
      <c r="I52" s="15">
        <f>IF(D52&gt;0, H52 - D52, 0)</f>
        <v/>
      </c>
      <c r="J52" s="15">
        <f>Setup!$B$20</f>
        <v/>
      </c>
      <c r="K52" s="15">
        <f>IF(D52&gt;0, D52 - J52, 0)</f>
        <v/>
      </c>
      <c r="L52" s="8" t="inlineStr">
        <is>
          <t>REST DAY</t>
        </is>
      </c>
      <c r="M52" s="7" t="inlineStr">
        <is>
          <t>Rest Day Honored ❤️</t>
        </is>
      </c>
      <c r="N52" s="8" t="inlineStr"/>
    </row>
    <row r="53" ht="24" customHeight="1">
      <c r="A53" s="10" t="inlineStr">
        <is>
          <t>2026-12-14</t>
        </is>
      </c>
      <c r="B53" s="10" t="n">
        <v>52</v>
      </c>
      <c r="C53" s="10" t="inlineStr">
        <is>
          <t>Monday</t>
        </is>
      </c>
      <c r="D53" s="17">
        <f>IFERROR(SUMIFS('Actual Food Log'!E:E, 'Actual Food Log'!A:A, A53), 0)</f>
        <v/>
      </c>
      <c r="E53" s="18">
        <f>IFERROR(SUMIFS('Actual Food Log'!F:F, 'Actual Food Log'!A:A, A53), 0)</f>
        <v/>
      </c>
      <c r="F53" s="17">
        <f>IFERROR(SUMIFS('Actual Exercise Log'!E:E, 'Actual Exercise Log'!A:A, A53), 0)</f>
        <v/>
      </c>
      <c r="G53" s="17">
        <f>Setup!$B$18</f>
        <v/>
      </c>
      <c r="H53" s="17">
        <f>IF(D53&gt;0, G53 + F53, G53)</f>
        <v/>
      </c>
      <c r="I53" s="17">
        <f>IF(D53&gt;0, H53 - D53, 0)</f>
        <v/>
      </c>
      <c r="J53" s="17">
        <f>Setup!$B$20</f>
        <v/>
      </c>
      <c r="K53" s="17">
        <f>IF(D53&gt;0, D53 - J53, 0)</f>
        <v/>
      </c>
      <c r="L53" s="11" t="inlineStr">
        <is>
          <t>18-Min Upbeat Bollywood &amp; Latin Zumba Dance Cardio</t>
        </is>
      </c>
      <c r="M53" s="10" t="inlineStr">
        <is>
          <t>Pending</t>
        </is>
      </c>
      <c r="N53" s="11" t="inlineStr"/>
    </row>
    <row r="54" ht="24" customHeight="1">
      <c r="A54" s="10" t="inlineStr">
        <is>
          <t>2026-12-15</t>
        </is>
      </c>
      <c r="B54" s="10" t="n">
        <v>53</v>
      </c>
      <c r="C54" s="10" t="inlineStr">
        <is>
          <t>Tuesday</t>
        </is>
      </c>
      <c r="D54" s="17">
        <f>IFERROR(SUMIFS('Actual Food Log'!E:E, 'Actual Food Log'!A:A, A54), 0)</f>
        <v/>
      </c>
      <c r="E54" s="18">
        <f>IFERROR(SUMIFS('Actual Food Log'!F:F, 'Actual Food Log'!A:A, A54), 0)</f>
        <v/>
      </c>
      <c r="F54" s="17">
        <f>IFERROR(SUMIFS('Actual Exercise Log'!E:E, 'Actual Exercise Log'!A:A, A54), 0)</f>
        <v/>
      </c>
      <c r="G54" s="17">
        <f>Setup!$B$18</f>
        <v/>
      </c>
      <c r="H54" s="17">
        <f>IF(D54&gt;0, G54 + F54, G54)</f>
        <v/>
      </c>
      <c r="I54" s="17">
        <f>IF(D54&gt;0, H54 - D54, 0)</f>
        <v/>
      </c>
      <c r="J54" s="17">
        <f>Setup!$B$20</f>
        <v/>
      </c>
      <c r="K54" s="17">
        <f>IF(D54&gt;0, D54 - J54, 0)</f>
        <v/>
      </c>
      <c r="L54" s="11" t="inlineStr">
        <is>
          <t>18-Min Joyful Retro Pop &amp; Dance Hits Zumba Session</t>
        </is>
      </c>
      <c r="M54" s="10" t="inlineStr">
        <is>
          <t>Pending</t>
        </is>
      </c>
      <c r="N54" s="11" t="inlineStr"/>
    </row>
    <row r="55" ht="24" customHeight="1">
      <c r="A55" s="7" t="inlineStr">
        <is>
          <t>2026-12-16</t>
        </is>
      </c>
      <c r="B55" s="7" t="n">
        <v>54</v>
      </c>
      <c r="C55" s="7" t="inlineStr">
        <is>
          <t>Wednesday</t>
        </is>
      </c>
      <c r="D55" s="15">
        <f>IFERROR(SUMIFS('Actual Food Log'!E:E, 'Actual Food Log'!A:A, A55), 0)</f>
        <v/>
      </c>
      <c r="E55" s="16">
        <f>IFERROR(SUMIFS('Actual Food Log'!F:F, 'Actual Food Log'!A:A, A55), 0)</f>
        <v/>
      </c>
      <c r="F55" s="15">
        <f>IFERROR(SUMIFS('Actual Exercise Log'!E:E, 'Actual Exercise Log'!A:A, A55), 0)</f>
        <v/>
      </c>
      <c r="G55" s="15">
        <f>Setup!$B$18</f>
        <v/>
      </c>
      <c r="H55" s="15">
        <f>IF(D55&gt;0, G55 + F55, G55)</f>
        <v/>
      </c>
      <c r="I55" s="15">
        <f>IF(D55&gt;0, H55 - D55, 0)</f>
        <v/>
      </c>
      <c r="J55" s="15">
        <f>Setup!$B$20</f>
        <v/>
      </c>
      <c r="K55" s="15">
        <f>IF(D55&gt;0, D55 - J55, 0)</f>
        <v/>
      </c>
      <c r="L55" s="8" t="inlineStr">
        <is>
          <t>REST DAY</t>
        </is>
      </c>
      <c r="M55" s="7" t="inlineStr">
        <is>
          <t>Rest Day Honored ❤️</t>
        </is>
      </c>
      <c r="N55" s="8" t="inlineStr"/>
    </row>
    <row r="56" ht="24" customHeight="1">
      <c r="A56" s="10" t="inlineStr">
        <is>
          <t>2026-12-17</t>
        </is>
      </c>
      <c r="B56" s="10" t="n">
        <v>55</v>
      </c>
      <c r="C56" s="10" t="inlineStr">
        <is>
          <t>Thursday</t>
        </is>
      </c>
      <c r="D56" s="17">
        <f>IFERROR(SUMIFS('Actual Food Log'!E:E, 'Actual Food Log'!A:A, A56), 0)</f>
        <v/>
      </c>
      <c r="E56" s="18">
        <f>IFERROR(SUMIFS('Actual Food Log'!F:F, 'Actual Food Log'!A:A, A56), 0)</f>
        <v/>
      </c>
      <c r="F56" s="17">
        <f>IFERROR(SUMIFS('Actual Exercise Log'!E:E, 'Actual Exercise Log'!A:A, A56), 0)</f>
        <v/>
      </c>
      <c r="G56" s="17">
        <f>Setup!$B$18</f>
        <v/>
      </c>
      <c r="H56" s="17">
        <f>IF(D56&gt;0, G56 + F56, G56)</f>
        <v/>
      </c>
      <c r="I56" s="17">
        <f>IF(D56&gt;0, H56 - D56, 0)</f>
        <v/>
      </c>
      <c r="J56" s="17">
        <f>Setup!$B$20</f>
        <v/>
      </c>
      <c r="K56" s="17">
        <f>IF(D56&gt;0, D56 - J56, 0)</f>
        <v/>
      </c>
      <c r="L56" s="11" t="inlineStr">
        <is>
          <t>18-Min Upbeat Bollywood &amp; Latin Zumba Dance Cardio</t>
        </is>
      </c>
      <c r="M56" s="10" t="inlineStr">
        <is>
          <t>Pending</t>
        </is>
      </c>
      <c r="N56" s="11" t="inlineStr"/>
    </row>
    <row r="57" ht="24" customHeight="1">
      <c r="A57" s="10" t="inlineStr">
        <is>
          <t>2026-12-18</t>
        </is>
      </c>
      <c r="B57" s="10" t="n">
        <v>56</v>
      </c>
      <c r="C57" s="10" t="inlineStr">
        <is>
          <t>Friday</t>
        </is>
      </c>
      <c r="D57" s="17">
        <f>IFERROR(SUMIFS('Actual Food Log'!E:E, 'Actual Food Log'!A:A, A57), 0)</f>
        <v/>
      </c>
      <c r="E57" s="18">
        <f>IFERROR(SUMIFS('Actual Food Log'!F:F, 'Actual Food Log'!A:A, A57), 0)</f>
        <v/>
      </c>
      <c r="F57" s="17">
        <f>IFERROR(SUMIFS('Actual Exercise Log'!E:E, 'Actual Exercise Log'!A:A, A57), 0)</f>
        <v/>
      </c>
      <c r="G57" s="17">
        <f>Setup!$B$18</f>
        <v/>
      </c>
      <c r="H57" s="17">
        <f>IF(D57&gt;0, G57 + F57, G57)</f>
        <v/>
      </c>
      <c r="I57" s="17">
        <f>IF(D57&gt;0, H57 - D57, 0)</f>
        <v/>
      </c>
      <c r="J57" s="17">
        <f>Setup!$B$20</f>
        <v/>
      </c>
      <c r="K57" s="17">
        <f>IF(D57&gt;0, D57 - J57, 0)</f>
        <v/>
      </c>
      <c r="L57" s="11" t="inlineStr">
        <is>
          <t>18-Min Joyful Retro Pop &amp; Dance Hits Zumba Session</t>
        </is>
      </c>
      <c r="M57" s="10" t="inlineStr">
        <is>
          <t>Pending</t>
        </is>
      </c>
      <c r="N57" s="11" t="inlineStr"/>
    </row>
    <row r="58" ht="24" customHeight="1">
      <c r="A58" s="7" t="inlineStr">
        <is>
          <t>2026-12-19</t>
        </is>
      </c>
      <c r="B58" s="7" t="n">
        <v>57</v>
      </c>
      <c r="C58" s="7" t="inlineStr">
        <is>
          <t>Saturday</t>
        </is>
      </c>
      <c r="D58" s="15">
        <f>IFERROR(SUMIFS('Actual Food Log'!E:E, 'Actual Food Log'!A:A, A58), 0)</f>
        <v/>
      </c>
      <c r="E58" s="16">
        <f>IFERROR(SUMIFS('Actual Food Log'!F:F, 'Actual Food Log'!A:A, A58), 0)</f>
        <v/>
      </c>
      <c r="F58" s="15">
        <f>IFERROR(SUMIFS('Actual Exercise Log'!E:E, 'Actual Exercise Log'!A:A, A58), 0)</f>
        <v/>
      </c>
      <c r="G58" s="15">
        <f>Setup!$B$18</f>
        <v/>
      </c>
      <c r="H58" s="15">
        <f>IF(D58&gt;0, G58 + F58, G58)</f>
        <v/>
      </c>
      <c r="I58" s="15">
        <f>IF(D58&gt;0, H58 - D58, 0)</f>
        <v/>
      </c>
      <c r="J58" s="15">
        <f>Setup!$B$20</f>
        <v/>
      </c>
      <c r="K58" s="15">
        <f>IF(D58&gt;0, D58 - J58, 0)</f>
        <v/>
      </c>
      <c r="L58" s="8" t="inlineStr">
        <is>
          <t>REST DAY</t>
        </is>
      </c>
      <c r="M58" s="7" t="inlineStr">
        <is>
          <t>Rest Day Honored ❤️</t>
        </is>
      </c>
      <c r="N58" s="8" t="inlineStr"/>
    </row>
    <row r="59" ht="24" customHeight="1">
      <c r="A59" s="7" t="inlineStr">
        <is>
          <t>2026-12-20</t>
        </is>
      </c>
      <c r="B59" s="7" t="n">
        <v>58</v>
      </c>
      <c r="C59" s="7" t="inlineStr">
        <is>
          <t>Sunday</t>
        </is>
      </c>
      <c r="D59" s="15">
        <f>IFERROR(SUMIFS('Actual Food Log'!E:E, 'Actual Food Log'!A:A, A59), 0)</f>
        <v/>
      </c>
      <c r="E59" s="16">
        <f>IFERROR(SUMIFS('Actual Food Log'!F:F, 'Actual Food Log'!A:A, A59), 0)</f>
        <v/>
      </c>
      <c r="F59" s="15">
        <f>IFERROR(SUMIFS('Actual Exercise Log'!E:E, 'Actual Exercise Log'!A:A, A59), 0)</f>
        <v/>
      </c>
      <c r="G59" s="15">
        <f>Setup!$B$18</f>
        <v/>
      </c>
      <c r="H59" s="15">
        <f>IF(D59&gt;0, G59 + F59, G59)</f>
        <v/>
      </c>
      <c r="I59" s="15">
        <f>IF(D59&gt;0, H59 - D59, 0)</f>
        <v/>
      </c>
      <c r="J59" s="15">
        <f>Setup!$B$20</f>
        <v/>
      </c>
      <c r="K59" s="15">
        <f>IF(D59&gt;0, D59 - J59, 0)</f>
        <v/>
      </c>
      <c r="L59" s="8" t="inlineStr">
        <is>
          <t>REST DAY</t>
        </is>
      </c>
      <c r="M59" s="7" t="inlineStr">
        <is>
          <t>Rest Day Honored ❤️</t>
        </is>
      </c>
      <c r="N59" s="8" t="inlineStr"/>
    </row>
    <row r="60" ht="24" customHeight="1">
      <c r="A60" s="10" t="inlineStr">
        <is>
          <t>2026-12-21</t>
        </is>
      </c>
      <c r="B60" s="10" t="n">
        <v>59</v>
      </c>
      <c r="C60" s="10" t="inlineStr">
        <is>
          <t>Monday</t>
        </is>
      </c>
      <c r="D60" s="17">
        <f>IFERROR(SUMIFS('Actual Food Log'!E:E, 'Actual Food Log'!A:A, A60), 0)</f>
        <v/>
      </c>
      <c r="E60" s="18">
        <f>IFERROR(SUMIFS('Actual Food Log'!F:F, 'Actual Food Log'!A:A, A60), 0)</f>
        <v/>
      </c>
      <c r="F60" s="17">
        <f>IFERROR(SUMIFS('Actual Exercise Log'!E:E, 'Actual Exercise Log'!A:A, A60), 0)</f>
        <v/>
      </c>
      <c r="G60" s="17">
        <f>Setup!$B$18</f>
        <v/>
      </c>
      <c r="H60" s="17">
        <f>IF(D60&gt;0, G60 + F60, G60)</f>
        <v/>
      </c>
      <c r="I60" s="17">
        <f>IF(D60&gt;0, H60 - D60, 0)</f>
        <v/>
      </c>
      <c r="J60" s="17">
        <f>Setup!$B$20</f>
        <v/>
      </c>
      <c r="K60" s="17">
        <f>IF(D60&gt;0, D60 - J60, 0)</f>
        <v/>
      </c>
      <c r="L60" s="11" t="inlineStr">
        <is>
          <t>18-Min Upbeat Bollywood &amp; Latin Zumba Dance Cardio</t>
        </is>
      </c>
      <c r="M60" s="10" t="inlineStr">
        <is>
          <t>Pending</t>
        </is>
      </c>
      <c r="N60" s="11" t="inlineStr"/>
    </row>
    <row r="61" ht="24" customHeight="1">
      <c r="A61" s="10" t="inlineStr">
        <is>
          <t>2026-12-22</t>
        </is>
      </c>
      <c r="B61" s="10" t="n">
        <v>60</v>
      </c>
      <c r="C61" s="10" t="inlineStr">
        <is>
          <t>Tuesday</t>
        </is>
      </c>
      <c r="D61" s="17">
        <f>IFERROR(SUMIFS('Actual Food Log'!E:E, 'Actual Food Log'!A:A, A61), 0)</f>
        <v/>
      </c>
      <c r="E61" s="18">
        <f>IFERROR(SUMIFS('Actual Food Log'!F:F, 'Actual Food Log'!A:A, A61), 0)</f>
        <v/>
      </c>
      <c r="F61" s="17">
        <f>IFERROR(SUMIFS('Actual Exercise Log'!E:E, 'Actual Exercise Log'!A:A, A61), 0)</f>
        <v/>
      </c>
      <c r="G61" s="17">
        <f>Setup!$B$18</f>
        <v/>
      </c>
      <c r="H61" s="17">
        <f>IF(D61&gt;0, G61 + F61, G61)</f>
        <v/>
      </c>
      <c r="I61" s="17">
        <f>IF(D61&gt;0, H61 - D61, 0)</f>
        <v/>
      </c>
      <c r="J61" s="17">
        <f>Setup!$B$20</f>
        <v/>
      </c>
      <c r="K61" s="17">
        <f>IF(D61&gt;0, D61 - J61, 0)</f>
        <v/>
      </c>
      <c r="L61" s="11" t="inlineStr">
        <is>
          <t>18-Min Joyful Retro Pop &amp; Dance Hits Zumba Session</t>
        </is>
      </c>
      <c r="M61" s="10" t="inlineStr">
        <is>
          <t>Pending</t>
        </is>
      </c>
      <c r="N61" s="11" t="inlineStr"/>
    </row>
    <row r="62" ht="24" customHeight="1">
      <c r="A62" s="7" t="inlineStr">
        <is>
          <t>2026-12-23</t>
        </is>
      </c>
      <c r="B62" s="7" t="n">
        <v>61</v>
      </c>
      <c r="C62" s="7" t="inlineStr">
        <is>
          <t>Wednesday</t>
        </is>
      </c>
      <c r="D62" s="15">
        <f>IFERROR(SUMIFS('Actual Food Log'!E:E, 'Actual Food Log'!A:A, A62), 0)</f>
        <v/>
      </c>
      <c r="E62" s="16">
        <f>IFERROR(SUMIFS('Actual Food Log'!F:F, 'Actual Food Log'!A:A, A62), 0)</f>
        <v/>
      </c>
      <c r="F62" s="15">
        <f>IFERROR(SUMIFS('Actual Exercise Log'!E:E, 'Actual Exercise Log'!A:A, A62), 0)</f>
        <v/>
      </c>
      <c r="G62" s="15">
        <f>Setup!$B$18</f>
        <v/>
      </c>
      <c r="H62" s="15">
        <f>IF(D62&gt;0, G62 + F62, G62)</f>
        <v/>
      </c>
      <c r="I62" s="15">
        <f>IF(D62&gt;0, H62 - D62, 0)</f>
        <v/>
      </c>
      <c r="J62" s="15">
        <f>Setup!$B$20</f>
        <v/>
      </c>
      <c r="K62" s="15">
        <f>IF(D62&gt;0, D62 - J62, 0)</f>
        <v/>
      </c>
      <c r="L62" s="8" t="inlineStr">
        <is>
          <t>REST DAY</t>
        </is>
      </c>
      <c r="M62" s="7" t="inlineStr">
        <is>
          <t>Rest Day Honored ❤️</t>
        </is>
      </c>
      <c r="N62" s="8" t="inlineStr"/>
    </row>
    <row r="63" ht="24" customHeight="1">
      <c r="A63" s="10" t="inlineStr">
        <is>
          <t>2026-12-24</t>
        </is>
      </c>
      <c r="B63" s="10" t="n">
        <v>62</v>
      </c>
      <c r="C63" s="10" t="inlineStr">
        <is>
          <t>Thursday</t>
        </is>
      </c>
      <c r="D63" s="17">
        <f>IFERROR(SUMIFS('Actual Food Log'!E:E, 'Actual Food Log'!A:A, A63), 0)</f>
        <v/>
      </c>
      <c r="E63" s="18">
        <f>IFERROR(SUMIFS('Actual Food Log'!F:F, 'Actual Food Log'!A:A, A63), 0)</f>
        <v/>
      </c>
      <c r="F63" s="17">
        <f>IFERROR(SUMIFS('Actual Exercise Log'!E:E, 'Actual Exercise Log'!A:A, A63), 0)</f>
        <v/>
      </c>
      <c r="G63" s="17">
        <f>Setup!$B$18</f>
        <v/>
      </c>
      <c r="H63" s="17">
        <f>IF(D63&gt;0, G63 + F63, G63)</f>
        <v/>
      </c>
      <c r="I63" s="17">
        <f>IF(D63&gt;0, H63 - D63, 0)</f>
        <v/>
      </c>
      <c r="J63" s="17">
        <f>Setup!$B$20</f>
        <v/>
      </c>
      <c r="K63" s="17">
        <f>IF(D63&gt;0, D63 - J63, 0)</f>
        <v/>
      </c>
      <c r="L63" s="11" t="inlineStr">
        <is>
          <t>18-Min Upbeat Bollywood &amp; Latin Zumba Dance Cardio</t>
        </is>
      </c>
      <c r="M63" s="10" t="inlineStr">
        <is>
          <t>Pending</t>
        </is>
      </c>
      <c r="N63" s="11" t="inlineStr"/>
    </row>
    <row r="64" ht="24" customHeight="1">
      <c r="A64" s="10" t="inlineStr">
        <is>
          <t>2026-12-25</t>
        </is>
      </c>
      <c r="B64" s="10" t="n">
        <v>63</v>
      </c>
      <c r="C64" s="10" t="inlineStr">
        <is>
          <t>Friday</t>
        </is>
      </c>
      <c r="D64" s="17">
        <f>IFERROR(SUMIFS('Actual Food Log'!E:E, 'Actual Food Log'!A:A, A64), 0)</f>
        <v/>
      </c>
      <c r="E64" s="18">
        <f>IFERROR(SUMIFS('Actual Food Log'!F:F, 'Actual Food Log'!A:A, A64), 0)</f>
        <v/>
      </c>
      <c r="F64" s="17">
        <f>IFERROR(SUMIFS('Actual Exercise Log'!E:E, 'Actual Exercise Log'!A:A, A64), 0)</f>
        <v/>
      </c>
      <c r="G64" s="17">
        <f>Setup!$B$18</f>
        <v/>
      </c>
      <c r="H64" s="17">
        <f>IF(D64&gt;0, G64 + F64, G64)</f>
        <v/>
      </c>
      <c r="I64" s="17">
        <f>IF(D64&gt;0, H64 - D64, 0)</f>
        <v/>
      </c>
      <c r="J64" s="17">
        <f>Setup!$B$20</f>
        <v/>
      </c>
      <c r="K64" s="17">
        <f>IF(D64&gt;0, D64 - J64, 0)</f>
        <v/>
      </c>
      <c r="L64" s="11" t="inlineStr">
        <is>
          <t>18-Min Joyful Retro Pop &amp; Dance Hits Zumba Session</t>
        </is>
      </c>
      <c r="M64" s="10" t="inlineStr">
        <is>
          <t>Pending</t>
        </is>
      </c>
      <c r="N64" s="11" t="inlineStr"/>
    </row>
    <row r="65" ht="24" customHeight="1">
      <c r="A65" s="7" t="inlineStr">
        <is>
          <t>2026-12-26</t>
        </is>
      </c>
      <c r="B65" s="7" t="n">
        <v>64</v>
      </c>
      <c r="C65" s="7" t="inlineStr">
        <is>
          <t>Saturday</t>
        </is>
      </c>
      <c r="D65" s="15">
        <f>IFERROR(SUMIFS('Actual Food Log'!E:E, 'Actual Food Log'!A:A, A65), 0)</f>
        <v/>
      </c>
      <c r="E65" s="16">
        <f>IFERROR(SUMIFS('Actual Food Log'!F:F, 'Actual Food Log'!A:A, A65), 0)</f>
        <v/>
      </c>
      <c r="F65" s="15">
        <f>IFERROR(SUMIFS('Actual Exercise Log'!E:E, 'Actual Exercise Log'!A:A, A65), 0)</f>
        <v/>
      </c>
      <c r="G65" s="15">
        <f>Setup!$B$18</f>
        <v/>
      </c>
      <c r="H65" s="15">
        <f>IF(D65&gt;0, G65 + F65, G65)</f>
        <v/>
      </c>
      <c r="I65" s="15">
        <f>IF(D65&gt;0, H65 - D65, 0)</f>
        <v/>
      </c>
      <c r="J65" s="15">
        <f>Setup!$B$20</f>
        <v/>
      </c>
      <c r="K65" s="15">
        <f>IF(D65&gt;0, D65 - J65, 0)</f>
        <v/>
      </c>
      <c r="L65" s="8" t="inlineStr">
        <is>
          <t>REST DAY</t>
        </is>
      </c>
      <c r="M65" s="7" t="inlineStr">
        <is>
          <t>Rest Day Honored ❤️</t>
        </is>
      </c>
      <c r="N65" s="8" t="inlineStr"/>
    </row>
    <row r="66" ht="24" customHeight="1">
      <c r="A66" s="7" t="inlineStr">
        <is>
          <t>2026-12-27</t>
        </is>
      </c>
      <c r="B66" s="7" t="n">
        <v>65</v>
      </c>
      <c r="C66" s="7" t="inlineStr">
        <is>
          <t>Sunday</t>
        </is>
      </c>
      <c r="D66" s="15">
        <f>IFERROR(SUMIFS('Actual Food Log'!E:E, 'Actual Food Log'!A:A, A66), 0)</f>
        <v/>
      </c>
      <c r="E66" s="16">
        <f>IFERROR(SUMIFS('Actual Food Log'!F:F, 'Actual Food Log'!A:A, A66), 0)</f>
        <v/>
      </c>
      <c r="F66" s="15">
        <f>IFERROR(SUMIFS('Actual Exercise Log'!E:E, 'Actual Exercise Log'!A:A, A66), 0)</f>
        <v/>
      </c>
      <c r="G66" s="15">
        <f>Setup!$B$18</f>
        <v/>
      </c>
      <c r="H66" s="15">
        <f>IF(D66&gt;0, G66 + F66, G66)</f>
        <v/>
      </c>
      <c r="I66" s="15">
        <f>IF(D66&gt;0, H66 - D66, 0)</f>
        <v/>
      </c>
      <c r="J66" s="15">
        <f>Setup!$B$20</f>
        <v/>
      </c>
      <c r="K66" s="15">
        <f>IF(D66&gt;0, D66 - J66, 0)</f>
        <v/>
      </c>
      <c r="L66" s="8" t="inlineStr">
        <is>
          <t>REST DAY</t>
        </is>
      </c>
      <c r="M66" s="7" t="inlineStr">
        <is>
          <t>Rest Day Honored ❤️</t>
        </is>
      </c>
      <c r="N66" s="8" t="inlineStr"/>
    </row>
    <row r="67" ht="24" customHeight="1">
      <c r="A67" s="10" t="inlineStr">
        <is>
          <t>2026-12-28</t>
        </is>
      </c>
      <c r="B67" s="10" t="n">
        <v>66</v>
      </c>
      <c r="C67" s="10" t="inlineStr">
        <is>
          <t>Monday</t>
        </is>
      </c>
      <c r="D67" s="17">
        <f>IFERROR(SUMIFS('Actual Food Log'!E:E, 'Actual Food Log'!A:A, A67), 0)</f>
        <v/>
      </c>
      <c r="E67" s="18">
        <f>IFERROR(SUMIFS('Actual Food Log'!F:F, 'Actual Food Log'!A:A, A67), 0)</f>
        <v/>
      </c>
      <c r="F67" s="17">
        <f>IFERROR(SUMIFS('Actual Exercise Log'!E:E, 'Actual Exercise Log'!A:A, A67), 0)</f>
        <v/>
      </c>
      <c r="G67" s="17">
        <f>Setup!$B$18</f>
        <v/>
      </c>
      <c r="H67" s="17">
        <f>IF(D67&gt;0, G67 + F67, G67)</f>
        <v/>
      </c>
      <c r="I67" s="17">
        <f>IF(D67&gt;0, H67 - D67, 0)</f>
        <v/>
      </c>
      <c r="J67" s="17">
        <f>Setup!$B$20</f>
        <v/>
      </c>
      <c r="K67" s="17">
        <f>IF(D67&gt;0, D67 - J67, 0)</f>
        <v/>
      </c>
      <c r="L67" s="11" t="inlineStr">
        <is>
          <t>18-Min Upbeat Bollywood &amp; Latin Zumba Dance Cardio</t>
        </is>
      </c>
      <c r="M67" s="10" t="inlineStr">
        <is>
          <t>Pending</t>
        </is>
      </c>
      <c r="N67" s="11" t="inlineStr"/>
    </row>
    <row r="68" ht="24" customHeight="1">
      <c r="A68" s="10" t="inlineStr">
        <is>
          <t>2026-12-29</t>
        </is>
      </c>
      <c r="B68" s="10" t="n">
        <v>67</v>
      </c>
      <c r="C68" s="10" t="inlineStr">
        <is>
          <t>Tuesday</t>
        </is>
      </c>
      <c r="D68" s="17">
        <f>IFERROR(SUMIFS('Actual Food Log'!E:E, 'Actual Food Log'!A:A, A68), 0)</f>
        <v/>
      </c>
      <c r="E68" s="18">
        <f>IFERROR(SUMIFS('Actual Food Log'!F:F, 'Actual Food Log'!A:A, A68), 0)</f>
        <v/>
      </c>
      <c r="F68" s="17">
        <f>IFERROR(SUMIFS('Actual Exercise Log'!E:E, 'Actual Exercise Log'!A:A, A68), 0)</f>
        <v/>
      </c>
      <c r="G68" s="17">
        <f>Setup!$B$18</f>
        <v/>
      </c>
      <c r="H68" s="17">
        <f>IF(D68&gt;0, G68 + F68, G68)</f>
        <v/>
      </c>
      <c r="I68" s="17">
        <f>IF(D68&gt;0, H68 - D68, 0)</f>
        <v/>
      </c>
      <c r="J68" s="17">
        <f>Setup!$B$20</f>
        <v/>
      </c>
      <c r="K68" s="17">
        <f>IF(D68&gt;0, D68 - J68, 0)</f>
        <v/>
      </c>
      <c r="L68" s="11" t="inlineStr">
        <is>
          <t>18-Min Joyful Retro Pop &amp; Dance Hits Zumba Session</t>
        </is>
      </c>
      <c r="M68" s="10" t="inlineStr">
        <is>
          <t>Pending</t>
        </is>
      </c>
      <c r="N68" s="11" t="inlineStr"/>
    </row>
    <row r="69" ht="24" customHeight="1">
      <c r="A69" s="7" t="inlineStr">
        <is>
          <t>2026-12-30</t>
        </is>
      </c>
      <c r="B69" s="7" t="n">
        <v>68</v>
      </c>
      <c r="C69" s="7" t="inlineStr">
        <is>
          <t>Wednesday</t>
        </is>
      </c>
      <c r="D69" s="15">
        <f>IFERROR(SUMIFS('Actual Food Log'!E:E, 'Actual Food Log'!A:A, A69), 0)</f>
        <v/>
      </c>
      <c r="E69" s="16">
        <f>IFERROR(SUMIFS('Actual Food Log'!F:F, 'Actual Food Log'!A:A, A69), 0)</f>
        <v/>
      </c>
      <c r="F69" s="15">
        <f>IFERROR(SUMIFS('Actual Exercise Log'!E:E, 'Actual Exercise Log'!A:A, A69), 0)</f>
        <v/>
      </c>
      <c r="G69" s="15">
        <f>Setup!$B$18</f>
        <v/>
      </c>
      <c r="H69" s="15">
        <f>IF(D69&gt;0, G69 + F69, G69)</f>
        <v/>
      </c>
      <c r="I69" s="15">
        <f>IF(D69&gt;0, H69 - D69, 0)</f>
        <v/>
      </c>
      <c r="J69" s="15">
        <f>Setup!$B$20</f>
        <v/>
      </c>
      <c r="K69" s="15">
        <f>IF(D69&gt;0, D69 - J69, 0)</f>
        <v/>
      </c>
      <c r="L69" s="8" t="inlineStr">
        <is>
          <t>REST DAY</t>
        </is>
      </c>
      <c r="M69" s="7" t="inlineStr">
        <is>
          <t>Rest Day Honored ❤️</t>
        </is>
      </c>
      <c r="N69" s="8" t="inlineStr"/>
    </row>
    <row r="70" ht="24" customHeight="1">
      <c r="A70" s="10" t="inlineStr">
        <is>
          <t>2026-12-31</t>
        </is>
      </c>
      <c r="B70" s="10" t="n">
        <v>69</v>
      </c>
      <c r="C70" s="10" t="inlineStr">
        <is>
          <t>Thursday</t>
        </is>
      </c>
      <c r="D70" s="17">
        <f>IFERROR(SUMIFS('Actual Food Log'!E:E, 'Actual Food Log'!A:A, A70), 0)</f>
        <v/>
      </c>
      <c r="E70" s="18">
        <f>IFERROR(SUMIFS('Actual Food Log'!F:F, 'Actual Food Log'!A:A, A70), 0)</f>
        <v/>
      </c>
      <c r="F70" s="17">
        <f>IFERROR(SUMIFS('Actual Exercise Log'!E:E, 'Actual Exercise Log'!A:A, A70), 0)</f>
        <v/>
      </c>
      <c r="G70" s="17">
        <f>Setup!$B$18</f>
        <v/>
      </c>
      <c r="H70" s="17">
        <f>IF(D70&gt;0, G70 + F70, G70)</f>
        <v/>
      </c>
      <c r="I70" s="17">
        <f>IF(D70&gt;0, H70 - D70, 0)</f>
        <v/>
      </c>
      <c r="J70" s="17">
        <f>Setup!$B$20</f>
        <v/>
      </c>
      <c r="K70" s="17">
        <f>IF(D70&gt;0, D70 - J70, 0)</f>
        <v/>
      </c>
      <c r="L70" s="11" t="inlineStr">
        <is>
          <t>18-Min Upbeat Bollywood &amp; Latin Zumba Dance Cardio</t>
        </is>
      </c>
      <c r="M70" s="10" t="inlineStr">
        <is>
          <t>Pending</t>
        </is>
      </c>
      <c r="N70" s="11" t="inlineStr"/>
    </row>
    <row r="71" ht="24" customHeight="1">
      <c r="A71" s="10" t="inlineStr">
        <is>
          <t>2027-01-01</t>
        </is>
      </c>
      <c r="B71" s="10" t="n">
        <v>70</v>
      </c>
      <c r="C71" s="10" t="inlineStr">
        <is>
          <t>Friday</t>
        </is>
      </c>
      <c r="D71" s="17">
        <f>IFERROR(SUMIFS('Actual Food Log'!E:E, 'Actual Food Log'!A:A, A71), 0)</f>
        <v/>
      </c>
      <c r="E71" s="18">
        <f>IFERROR(SUMIFS('Actual Food Log'!F:F, 'Actual Food Log'!A:A, A71), 0)</f>
        <v/>
      </c>
      <c r="F71" s="17">
        <f>IFERROR(SUMIFS('Actual Exercise Log'!E:E, 'Actual Exercise Log'!A:A, A71), 0)</f>
        <v/>
      </c>
      <c r="G71" s="17">
        <f>Setup!$B$18</f>
        <v/>
      </c>
      <c r="H71" s="17">
        <f>IF(D71&gt;0, G71 + F71, G71)</f>
        <v/>
      </c>
      <c r="I71" s="17">
        <f>IF(D71&gt;0, H71 - D71, 0)</f>
        <v/>
      </c>
      <c r="J71" s="17">
        <f>Setup!$B$20</f>
        <v/>
      </c>
      <c r="K71" s="17">
        <f>IF(D71&gt;0, D71 - J71, 0)</f>
        <v/>
      </c>
      <c r="L71" s="11" t="inlineStr">
        <is>
          <t>18-Min Joyful Retro Pop &amp; Dance Hits Zumba Session</t>
        </is>
      </c>
      <c r="M71" s="10" t="inlineStr">
        <is>
          <t>Pending</t>
        </is>
      </c>
      <c r="N71" s="11" t="inlineStr"/>
    </row>
    <row r="72" ht="24" customHeight="1">
      <c r="A72" s="7" t="inlineStr">
        <is>
          <t>2027-01-02</t>
        </is>
      </c>
      <c r="B72" s="7" t="n">
        <v>71</v>
      </c>
      <c r="C72" s="7" t="inlineStr">
        <is>
          <t>Saturday</t>
        </is>
      </c>
      <c r="D72" s="15">
        <f>IFERROR(SUMIFS('Actual Food Log'!E:E, 'Actual Food Log'!A:A, A72), 0)</f>
        <v/>
      </c>
      <c r="E72" s="16">
        <f>IFERROR(SUMIFS('Actual Food Log'!F:F, 'Actual Food Log'!A:A, A72), 0)</f>
        <v/>
      </c>
      <c r="F72" s="15">
        <f>IFERROR(SUMIFS('Actual Exercise Log'!E:E, 'Actual Exercise Log'!A:A, A72), 0)</f>
        <v/>
      </c>
      <c r="G72" s="15">
        <f>Setup!$B$18</f>
        <v/>
      </c>
      <c r="H72" s="15">
        <f>IF(D72&gt;0, G72 + F72, G72)</f>
        <v/>
      </c>
      <c r="I72" s="15">
        <f>IF(D72&gt;0, H72 - D72, 0)</f>
        <v/>
      </c>
      <c r="J72" s="15">
        <f>Setup!$B$20</f>
        <v/>
      </c>
      <c r="K72" s="15">
        <f>IF(D72&gt;0, D72 - J72, 0)</f>
        <v/>
      </c>
      <c r="L72" s="8" t="inlineStr">
        <is>
          <t>REST DAY</t>
        </is>
      </c>
      <c r="M72" s="7" t="inlineStr">
        <is>
          <t>Rest Day Honored ❤️</t>
        </is>
      </c>
      <c r="N72" s="8" t="inlineStr"/>
    </row>
    <row r="73" ht="24" customHeight="1">
      <c r="A73" s="7" t="inlineStr">
        <is>
          <t>2027-01-03</t>
        </is>
      </c>
      <c r="B73" s="7" t="n">
        <v>72</v>
      </c>
      <c r="C73" s="7" t="inlineStr">
        <is>
          <t>Sunday</t>
        </is>
      </c>
      <c r="D73" s="15">
        <f>IFERROR(SUMIFS('Actual Food Log'!E:E, 'Actual Food Log'!A:A, A73), 0)</f>
        <v/>
      </c>
      <c r="E73" s="16">
        <f>IFERROR(SUMIFS('Actual Food Log'!F:F, 'Actual Food Log'!A:A, A73), 0)</f>
        <v/>
      </c>
      <c r="F73" s="15">
        <f>IFERROR(SUMIFS('Actual Exercise Log'!E:E, 'Actual Exercise Log'!A:A, A73), 0)</f>
        <v/>
      </c>
      <c r="G73" s="15">
        <f>Setup!$B$18</f>
        <v/>
      </c>
      <c r="H73" s="15">
        <f>IF(D73&gt;0, G73 + F73, G73)</f>
        <v/>
      </c>
      <c r="I73" s="15">
        <f>IF(D73&gt;0, H73 - D73, 0)</f>
        <v/>
      </c>
      <c r="J73" s="15">
        <f>Setup!$B$20</f>
        <v/>
      </c>
      <c r="K73" s="15">
        <f>IF(D73&gt;0, D73 - J73, 0)</f>
        <v/>
      </c>
      <c r="L73" s="8" t="inlineStr">
        <is>
          <t>REST DAY</t>
        </is>
      </c>
      <c r="M73" s="7" t="inlineStr">
        <is>
          <t>Rest Day Honored ❤️</t>
        </is>
      </c>
      <c r="N73" s="8" t="inlineStr"/>
    </row>
    <row r="74" ht="24" customHeight="1">
      <c r="A74" s="10" t="inlineStr">
        <is>
          <t>2027-01-04</t>
        </is>
      </c>
      <c r="B74" s="10" t="n">
        <v>73</v>
      </c>
      <c r="C74" s="10" t="inlineStr">
        <is>
          <t>Monday</t>
        </is>
      </c>
      <c r="D74" s="17">
        <f>IFERROR(SUMIFS('Actual Food Log'!E:E, 'Actual Food Log'!A:A, A74), 0)</f>
        <v/>
      </c>
      <c r="E74" s="18">
        <f>IFERROR(SUMIFS('Actual Food Log'!F:F, 'Actual Food Log'!A:A, A74), 0)</f>
        <v/>
      </c>
      <c r="F74" s="17">
        <f>IFERROR(SUMIFS('Actual Exercise Log'!E:E, 'Actual Exercise Log'!A:A, A74), 0)</f>
        <v/>
      </c>
      <c r="G74" s="17">
        <f>Setup!$B$18</f>
        <v/>
      </c>
      <c r="H74" s="17">
        <f>IF(D74&gt;0, G74 + F74, G74)</f>
        <v/>
      </c>
      <c r="I74" s="17">
        <f>IF(D74&gt;0, H74 - D74, 0)</f>
        <v/>
      </c>
      <c r="J74" s="17">
        <f>Setup!$B$20</f>
        <v/>
      </c>
      <c r="K74" s="17">
        <f>IF(D74&gt;0, D74 - J74, 0)</f>
        <v/>
      </c>
      <c r="L74" s="11" t="inlineStr">
        <is>
          <t>18-Min Upbeat Bollywood &amp; Latin Zumba Dance Cardio</t>
        </is>
      </c>
      <c r="M74" s="10" t="inlineStr">
        <is>
          <t>Pending</t>
        </is>
      </c>
      <c r="N74" s="11" t="inlineStr"/>
    </row>
    <row r="75" ht="24" customHeight="1">
      <c r="A75" s="10" t="inlineStr">
        <is>
          <t>2027-01-05</t>
        </is>
      </c>
      <c r="B75" s="10" t="n">
        <v>74</v>
      </c>
      <c r="C75" s="10" t="inlineStr">
        <is>
          <t>Tuesday</t>
        </is>
      </c>
      <c r="D75" s="17">
        <f>IFERROR(SUMIFS('Actual Food Log'!E:E, 'Actual Food Log'!A:A, A75), 0)</f>
        <v/>
      </c>
      <c r="E75" s="18">
        <f>IFERROR(SUMIFS('Actual Food Log'!F:F, 'Actual Food Log'!A:A, A75), 0)</f>
        <v/>
      </c>
      <c r="F75" s="17">
        <f>IFERROR(SUMIFS('Actual Exercise Log'!E:E, 'Actual Exercise Log'!A:A, A75), 0)</f>
        <v/>
      </c>
      <c r="G75" s="17">
        <f>Setup!$B$18</f>
        <v/>
      </c>
      <c r="H75" s="17">
        <f>IF(D75&gt;0, G75 + F75, G75)</f>
        <v/>
      </c>
      <c r="I75" s="17">
        <f>IF(D75&gt;0, H75 - D75, 0)</f>
        <v/>
      </c>
      <c r="J75" s="17">
        <f>Setup!$B$20</f>
        <v/>
      </c>
      <c r="K75" s="17">
        <f>IF(D75&gt;0, D75 - J75, 0)</f>
        <v/>
      </c>
      <c r="L75" s="11" t="inlineStr">
        <is>
          <t>18-Min Joyful Retro Pop &amp; Dance Hits Zumba Session</t>
        </is>
      </c>
      <c r="M75" s="10" t="inlineStr">
        <is>
          <t>Pending</t>
        </is>
      </c>
      <c r="N75" s="11" t="inlineStr"/>
    </row>
    <row r="76" ht="24" customHeight="1">
      <c r="A76" s="7" t="inlineStr">
        <is>
          <t>2027-01-06</t>
        </is>
      </c>
      <c r="B76" s="7" t="n">
        <v>75</v>
      </c>
      <c r="C76" s="7" t="inlineStr">
        <is>
          <t>Wednesday</t>
        </is>
      </c>
      <c r="D76" s="15">
        <f>IFERROR(SUMIFS('Actual Food Log'!E:E, 'Actual Food Log'!A:A, A76), 0)</f>
        <v/>
      </c>
      <c r="E76" s="16">
        <f>IFERROR(SUMIFS('Actual Food Log'!F:F, 'Actual Food Log'!A:A, A76), 0)</f>
        <v/>
      </c>
      <c r="F76" s="15">
        <f>IFERROR(SUMIFS('Actual Exercise Log'!E:E, 'Actual Exercise Log'!A:A, A76), 0)</f>
        <v/>
      </c>
      <c r="G76" s="15">
        <f>Setup!$B$18</f>
        <v/>
      </c>
      <c r="H76" s="15">
        <f>IF(D76&gt;0, G76 + F76, G76)</f>
        <v/>
      </c>
      <c r="I76" s="15">
        <f>IF(D76&gt;0, H76 - D76, 0)</f>
        <v/>
      </c>
      <c r="J76" s="15">
        <f>Setup!$B$20</f>
        <v/>
      </c>
      <c r="K76" s="15">
        <f>IF(D76&gt;0, D76 - J76, 0)</f>
        <v/>
      </c>
      <c r="L76" s="8" t="inlineStr">
        <is>
          <t>REST DAY</t>
        </is>
      </c>
      <c r="M76" s="7" t="inlineStr">
        <is>
          <t>Rest Day Honored ❤️</t>
        </is>
      </c>
      <c r="N76" s="8" t="inlineStr"/>
    </row>
    <row r="77" ht="24" customHeight="1">
      <c r="A77" s="10" t="inlineStr">
        <is>
          <t>2027-01-07</t>
        </is>
      </c>
      <c r="B77" s="10" t="n">
        <v>76</v>
      </c>
      <c r="C77" s="10" t="inlineStr">
        <is>
          <t>Thursday</t>
        </is>
      </c>
      <c r="D77" s="17">
        <f>IFERROR(SUMIFS('Actual Food Log'!E:E, 'Actual Food Log'!A:A, A77), 0)</f>
        <v/>
      </c>
      <c r="E77" s="18">
        <f>IFERROR(SUMIFS('Actual Food Log'!F:F, 'Actual Food Log'!A:A, A77), 0)</f>
        <v/>
      </c>
      <c r="F77" s="17">
        <f>IFERROR(SUMIFS('Actual Exercise Log'!E:E, 'Actual Exercise Log'!A:A, A77), 0)</f>
        <v/>
      </c>
      <c r="G77" s="17">
        <f>Setup!$B$18</f>
        <v/>
      </c>
      <c r="H77" s="17">
        <f>IF(D77&gt;0, G77 + F77, G77)</f>
        <v/>
      </c>
      <c r="I77" s="17">
        <f>IF(D77&gt;0, H77 - D77, 0)</f>
        <v/>
      </c>
      <c r="J77" s="17">
        <f>Setup!$B$20</f>
        <v/>
      </c>
      <c r="K77" s="17">
        <f>IF(D77&gt;0, D77 - J77, 0)</f>
        <v/>
      </c>
      <c r="L77" s="11" t="inlineStr">
        <is>
          <t>20-Min Full Body Zumba Fiesta &amp; Core Tone</t>
        </is>
      </c>
      <c r="M77" s="10" t="inlineStr">
        <is>
          <t>Pending</t>
        </is>
      </c>
      <c r="N77" s="11" t="inlineStr"/>
    </row>
    <row r="78" ht="24" customHeight="1">
      <c r="A78" s="10" t="inlineStr">
        <is>
          <t>2027-01-08</t>
        </is>
      </c>
      <c r="B78" s="10" t="n">
        <v>77</v>
      </c>
      <c r="C78" s="10" t="inlineStr">
        <is>
          <t>Friday</t>
        </is>
      </c>
      <c r="D78" s="17">
        <f>IFERROR(SUMIFS('Actual Food Log'!E:E, 'Actual Food Log'!A:A, A78), 0)</f>
        <v/>
      </c>
      <c r="E78" s="18">
        <f>IFERROR(SUMIFS('Actual Food Log'!F:F, 'Actual Food Log'!A:A, A78), 0)</f>
        <v/>
      </c>
      <c r="F78" s="17">
        <f>IFERROR(SUMIFS('Actual Exercise Log'!E:E, 'Actual Exercise Log'!A:A, A78), 0)</f>
        <v/>
      </c>
      <c r="G78" s="17">
        <f>Setup!$B$18</f>
        <v/>
      </c>
      <c r="H78" s="17">
        <f>IF(D78&gt;0, G78 + F78, G78)</f>
        <v/>
      </c>
      <c r="I78" s="17">
        <f>IF(D78&gt;0, H78 - D78, 0)</f>
        <v/>
      </c>
      <c r="J78" s="17">
        <f>Setup!$B$20</f>
        <v/>
      </c>
      <c r="K78" s="17">
        <f>IF(D78&gt;0, D78 - J78, 0)</f>
        <v/>
      </c>
      <c r="L78" s="11" t="inlineStr">
        <is>
          <t>22-Min High-Spirited Bollywood Beats Zumba Cardio</t>
        </is>
      </c>
      <c r="M78" s="10" t="inlineStr">
        <is>
          <t>Pending</t>
        </is>
      </c>
      <c r="N78" s="11" t="inlineStr"/>
    </row>
    <row r="79" ht="24" customHeight="1">
      <c r="A79" s="7" t="inlineStr">
        <is>
          <t>2027-01-09</t>
        </is>
      </c>
      <c r="B79" s="7" t="n">
        <v>78</v>
      </c>
      <c r="C79" s="7" t="inlineStr">
        <is>
          <t>Saturday</t>
        </is>
      </c>
      <c r="D79" s="15">
        <f>IFERROR(SUMIFS('Actual Food Log'!E:E, 'Actual Food Log'!A:A, A79), 0)</f>
        <v/>
      </c>
      <c r="E79" s="16">
        <f>IFERROR(SUMIFS('Actual Food Log'!F:F, 'Actual Food Log'!A:A, A79), 0)</f>
        <v/>
      </c>
      <c r="F79" s="15">
        <f>IFERROR(SUMIFS('Actual Exercise Log'!E:E, 'Actual Exercise Log'!A:A, A79), 0)</f>
        <v/>
      </c>
      <c r="G79" s="15">
        <f>Setup!$B$18</f>
        <v/>
      </c>
      <c r="H79" s="15">
        <f>IF(D79&gt;0, G79 + F79, G79)</f>
        <v/>
      </c>
      <c r="I79" s="15">
        <f>IF(D79&gt;0, H79 - D79, 0)</f>
        <v/>
      </c>
      <c r="J79" s="15">
        <f>Setup!$B$20</f>
        <v/>
      </c>
      <c r="K79" s="15">
        <f>IF(D79&gt;0, D79 - J79, 0)</f>
        <v/>
      </c>
      <c r="L79" s="8" t="inlineStr">
        <is>
          <t>REST DAY</t>
        </is>
      </c>
      <c r="M79" s="7" t="inlineStr">
        <is>
          <t>Rest Day Honored ❤️</t>
        </is>
      </c>
      <c r="N79" s="8" t="inlineStr"/>
    </row>
    <row r="80" ht="24" customHeight="1">
      <c r="A80" s="7" t="inlineStr">
        <is>
          <t>2027-01-10</t>
        </is>
      </c>
      <c r="B80" s="7" t="n">
        <v>79</v>
      </c>
      <c r="C80" s="7" t="inlineStr">
        <is>
          <t>Sunday</t>
        </is>
      </c>
      <c r="D80" s="15">
        <f>IFERROR(SUMIFS('Actual Food Log'!E:E, 'Actual Food Log'!A:A, A80), 0)</f>
        <v/>
      </c>
      <c r="E80" s="16">
        <f>IFERROR(SUMIFS('Actual Food Log'!F:F, 'Actual Food Log'!A:A, A80), 0)</f>
        <v/>
      </c>
      <c r="F80" s="15">
        <f>IFERROR(SUMIFS('Actual Exercise Log'!E:E, 'Actual Exercise Log'!A:A, A80), 0)</f>
        <v/>
      </c>
      <c r="G80" s="15">
        <f>Setup!$B$18</f>
        <v/>
      </c>
      <c r="H80" s="15">
        <f>IF(D80&gt;0, G80 + F80, G80)</f>
        <v/>
      </c>
      <c r="I80" s="15">
        <f>IF(D80&gt;0, H80 - D80, 0)</f>
        <v/>
      </c>
      <c r="J80" s="15">
        <f>Setup!$B$20</f>
        <v/>
      </c>
      <c r="K80" s="15">
        <f>IF(D80&gt;0, D80 - J80, 0)</f>
        <v/>
      </c>
      <c r="L80" s="8" t="inlineStr">
        <is>
          <t>REST DAY</t>
        </is>
      </c>
      <c r="M80" s="7" t="inlineStr">
        <is>
          <t>Rest Day Honored ❤️</t>
        </is>
      </c>
      <c r="N80" s="8" t="inlineStr"/>
    </row>
    <row r="81" ht="24" customHeight="1">
      <c r="A81" s="10" t="inlineStr">
        <is>
          <t>2027-01-11</t>
        </is>
      </c>
      <c r="B81" s="10" t="n">
        <v>80</v>
      </c>
      <c r="C81" s="10" t="inlineStr">
        <is>
          <t>Monday</t>
        </is>
      </c>
      <c r="D81" s="17">
        <f>IFERROR(SUMIFS('Actual Food Log'!E:E, 'Actual Food Log'!A:A, A81), 0)</f>
        <v/>
      </c>
      <c r="E81" s="18">
        <f>IFERROR(SUMIFS('Actual Food Log'!F:F, 'Actual Food Log'!A:A, A81), 0)</f>
        <v/>
      </c>
      <c r="F81" s="17">
        <f>IFERROR(SUMIFS('Actual Exercise Log'!E:E, 'Actual Exercise Log'!A:A, A81), 0)</f>
        <v/>
      </c>
      <c r="G81" s="17">
        <f>Setup!$B$18</f>
        <v/>
      </c>
      <c r="H81" s="17">
        <f>IF(D81&gt;0, G81 + F81, G81)</f>
        <v/>
      </c>
      <c r="I81" s="17">
        <f>IF(D81&gt;0, H81 - D81, 0)</f>
        <v/>
      </c>
      <c r="J81" s="17">
        <f>Setup!$B$20</f>
        <v/>
      </c>
      <c r="K81" s="17">
        <f>IF(D81&gt;0, D81 - J81, 0)</f>
        <v/>
      </c>
      <c r="L81" s="11" t="inlineStr">
        <is>
          <t>20-Min Full Body Zumba Fiesta &amp; Core Tone</t>
        </is>
      </c>
      <c r="M81" s="10" t="inlineStr">
        <is>
          <t>Pending</t>
        </is>
      </c>
      <c r="N81" s="11" t="inlineStr"/>
    </row>
    <row r="82" ht="24" customHeight="1">
      <c r="A82" s="10" t="inlineStr">
        <is>
          <t>2027-01-12</t>
        </is>
      </c>
      <c r="B82" s="10" t="n">
        <v>81</v>
      </c>
      <c r="C82" s="10" t="inlineStr">
        <is>
          <t>Tuesday</t>
        </is>
      </c>
      <c r="D82" s="17">
        <f>IFERROR(SUMIFS('Actual Food Log'!E:E, 'Actual Food Log'!A:A, A82), 0)</f>
        <v/>
      </c>
      <c r="E82" s="18">
        <f>IFERROR(SUMIFS('Actual Food Log'!F:F, 'Actual Food Log'!A:A, A82), 0)</f>
        <v/>
      </c>
      <c r="F82" s="17">
        <f>IFERROR(SUMIFS('Actual Exercise Log'!E:E, 'Actual Exercise Log'!A:A, A82), 0)</f>
        <v/>
      </c>
      <c r="G82" s="17">
        <f>Setup!$B$18</f>
        <v/>
      </c>
      <c r="H82" s="17">
        <f>IF(D82&gt;0, G82 + F82, G82)</f>
        <v/>
      </c>
      <c r="I82" s="17">
        <f>IF(D82&gt;0, H82 - D82, 0)</f>
        <v/>
      </c>
      <c r="J82" s="17">
        <f>Setup!$B$20</f>
        <v/>
      </c>
      <c r="K82" s="17">
        <f>IF(D82&gt;0, D82 - J82, 0)</f>
        <v/>
      </c>
      <c r="L82" s="11" t="inlineStr">
        <is>
          <t>22-Min High-Spirited Bollywood Beats Zumba Cardio</t>
        </is>
      </c>
      <c r="M82" s="10" t="inlineStr">
        <is>
          <t>Pending</t>
        </is>
      </c>
      <c r="N82" s="11" t="inlineStr"/>
    </row>
    <row r="83" ht="24" customHeight="1">
      <c r="A83" s="7" t="inlineStr">
        <is>
          <t>2027-01-13</t>
        </is>
      </c>
      <c r="B83" s="7" t="n">
        <v>82</v>
      </c>
      <c r="C83" s="7" t="inlineStr">
        <is>
          <t>Wednesday</t>
        </is>
      </c>
      <c r="D83" s="15">
        <f>IFERROR(SUMIFS('Actual Food Log'!E:E, 'Actual Food Log'!A:A, A83), 0)</f>
        <v/>
      </c>
      <c r="E83" s="16">
        <f>IFERROR(SUMIFS('Actual Food Log'!F:F, 'Actual Food Log'!A:A, A83), 0)</f>
        <v/>
      </c>
      <c r="F83" s="15">
        <f>IFERROR(SUMIFS('Actual Exercise Log'!E:E, 'Actual Exercise Log'!A:A, A83), 0)</f>
        <v/>
      </c>
      <c r="G83" s="15">
        <f>Setup!$B$18</f>
        <v/>
      </c>
      <c r="H83" s="15">
        <f>IF(D83&gt;0, G83 + F83, G83)</f>
        <v/>
      </c>
      <c r="I83" s="15">
        <f>IF(D83&gt;0, H83 - D83, 0)</f>
        <v/>
      </c>
      <c r="J83" s="15">
        <f>Setup!$B$20</f>
        <v/>
      </c>
      <c r="K83" s="15">
        <f>IF(D83&gt;0, D83 - J83, 0)</f>
        <v/>
      </c>
      <c r="L83" s="8" t="inlineStr">
        <is>
          <t>REST DAY</t>
        </is>
      </c>
      <c r="M83" s="7" t="inlineStr">
        <is>
          <t>Rest Day Honored ❤️</t>
        </is>
      </c>
      <c r="N83" s="8" t="inlineStr"/>
    </row>
    <row r="84" ht="24" customHeight="1">
      <c r="A84" s="10" t="inlineStr">
        <is>
          <t>2027-01-14</t>
        </is>
      </c>
      <c r="B84" s="10" t="n">
        <v>83</v>
      </c>
      <c r="C84" s="10" t="inlineStr">
        <is>
          <t>Thursday</t>
        </is>
      </c>
      <c r="D84" s="17">
        <f>IFERROR(SUMIFS('Actual Food Log'!E:E, 'Actual Food Log'!A:A, A84), 0)</f>
        <v/>
      </c>
      <c r="E84" s="18">
        <f>IFERROR(SUMIFS('Actual Food Log'!F:F, 'Actual Food Log'!A:A, A84), 0)</f>
        <v/>
      </c>
      <c r="F84" s="17">
        <f>IFERROR(SUMIFS('Actual Exercise Log'!E:E, 'Actual Exercise Log'!A:A, A84), 0)</f>
        <v/>
      </c>
      <c r="G84" s="17">
        <f>Setup!$B$18</f>
        <v/>
      </c>
      <c r="H84" s="17">
        <f>IF(D84&gt;0, G84 + F84, G84)</f>
        <v/>
      </c>
      <c r="I84" s="17">
        <f>IF(D84&gt;0, H84 - D84, 0)</f>
        <v/>
      </c>
      <c r="J84" s="17">
        <f>Setup!$B$20</f>
        <v/>
      </c>
      <c r="K84" s="17">
        <f>IF(D84&gt;0, D84 - J84, 0)</f>
        <v/>
      </c>
      <c r="L84" s="11" t="inlineStr">
        <is>
          <t>20-Min Full Body Zumba Fiesta &amp; Core Tone</t>
        </is>
      </c>
      <c r="M84" s="10" t="inlineStr">
        <is>
          <t>Pending</t>
        </is>
      </c>
      <c r="N84" s="11" t="inlineStr"/>
    </row>
    <row r="85" ht="24" customHeight="1">
      <c r="A85" s="10" t="inlineStr">
        <is>
          <t>2027-01-15</t>
        </is>
      </c>
      <c r="B85" s="10" t="n">
        <v>84</v>
      </c>
      <c r="C85" s="10" t="inlineStr">
        <is>
          <t>Friday</t>
        </is>
      </c>
      <c r="D85" s="17">
        <f>IFERROR(SUMIFS('Actual Food Log'!E:E, 'Actual Food Log'!A:A, A85), 0)</f>
        <v/>
      </c>
      <c r="E85" s="18">
        <f>IFERROR(SUMIFS('Actual Food Log'!F:F, 'Actual Food Log'!A:A, A85), 0)</f>
        <v/>
      </c>
      <c r="F85" s="17">
        <f>IFERROR(SUMIFS('Actual Exercise Log'!E:E, 'Actual Exercise Log'!A:A, A85), 0)</f>
        <v/>
      </c>
      <c r="G85" s="17">
        <f>Setup!$B$18</f>
        <v/>
      </c>
      <c r="H85" s="17">
        <f>IF(D85&gt;0, G85 + F85, G85)</f>
        <v/>
      </c>
      <c r="I85" s="17">
        <f>IF(D85&gt;0, H85 - D85, 0)</f>
        <v/>
      </c>
      <c r="J85" s="17">
        <f>Setup!$B$20</f>
        <v/>
      </c>
      <c r="K85" s="17">
        <f>IF(D85&gt;0, D85 - J85, 0)</f>
        <v/>
      </c>
      <c r="L85" s="11" t="inlineStr">
        <is>
          <t>22-Min High-Spirited Bollywood Beats Zumba Cardio</t>
        </is>
      </c>
      <c r="M85" s="10" t="inlineStr">
        <is>
          <t>Pending</t>
        </is>
      </c>
      <c r="N85" s="11" t="inlineStr"/>
    </row>
    <row r="86" ht="24" customHeight="1">
      <c r="A86" s="7" t="inlineStr">
        <is>
          <t>2027-01-16</t>
        </is>
      </c>
      <c r="B86" s="7" t="n">
        <v>85</v>
      </c>
      <c r="C86" s="7" t="inlineStr">
        <is>
          <t>Saturday</t>
        </is>
      </c>
      <c r="D86" s="15">
        <f>IFERROR(SUMIFS('Actual Food Log'!E:E, 'Actual Food Log'!A:A, A86), 0)</f>
        <v/>
      </c>
      <c r="E86" s="16">
        <f>IFERROR(SUMIFS('Actual Food Log'!F:F, 'Actual Food Log'!A:A, A86), 0)</f>
        <v/>
      </c>
      <c r="F86" s="15">
        <f>IFERROR(SUMIFS('Actual Exercise Log'!E:E, 'Actual Exercise Log'!A:A, A86), 0)</f>
        <v/>
      </c>
      <c r="G86" s="15">
        <f>Setup!$B$18</f>
        <v/>
      </c>
      <c r="H86" s="15">
        <f>IF(D86&gt;0, G86 + F86, G86)</f>
        <v/>
      </c>
      <c r="I86" s="15">
        <f>IF(D86&gt;0, H86 - D86, 0)</f>
        <v/>
      </c>
      <c r="J86" s="15">
        <f>Setup!$B$20</f>
        <v/>
      </c>
      <c r="K86" s="15">
        <f>IF(D86&gt;0, D86 - J86, 0)</f>
        <v/>
      </c>
      <c r="L86" s="8" t="inlineStr">
        <is>
          <t>REST DAY</t>
        </is>
      </c>
      <c r="M86" s="7" t="inlineStr">
        <is>
          <t>Rest Day Honored ❤️</t>
        </is>
      </c>
      <c r="N86" s="8" t="inlineStr"/>
    </row>
    <row r="87" ht="24" customHeight="1">
      <c r="A87" s="7" t="inlineStr">
        <is>
          <t>2027-01-17</t>
        </is>
      </c>
      <c r="B87" s="7" t="n">
        <v>86</v>
      </c>
      <c r="C87" s="7" t="inlineStr">
        <is>
          <t>Sunday</t>
        </is>
      </c>
      <c r="D87" s="15">
        <f>IFERROR(SUMIFS('Actual Food Log'!E:E, 'Actual Food Log'!A:A, A87), 0)</f>
        <v/>
      </c>
      <c r="E87" s="16">
        <f>IFERROR(SUMIFS('Actual Food Log'!F:F, 'Actual Food Log'!A:A, A87), 0)</f>
        <v/>
      </c>
      <c r="F87" s="15">
        <f>IFERROR(SUMIFS('Actual Exercise Log'!E:E, 'Actual Exercise Log'!A:A, A87), 0)</f>
        <v/>
      </c>
      <c r="G87" s="15">
        <f>Setup!$B$18</f>
        <v/>
      </c>
      <c r="H87" s="15">
        <f>IF(D87&gt;0, G87 + F87, G87)</f>
        <v/>
      </c>
      <c r="I87" s="15">
        <f>IF(D87&gt;0, H87 - D87, 0)</f>
        <v/>
      </c>
      <c r="J87" s="15">
        <f>Setup!$B$20</f>
        <v/>
      </c>
      <c r="K87" s="15">
        <f>IF(D87&gt;0, D87 - J87, 0)</f>
        <v/>
      </c>
      <c r="L87" s="8" t="inlineStr">
        <is>
          <t>REST DAY</t>
        </is>
      </c>
      <c r="M87" s="7" t="inlineStr">
        <is>
          <t>Rest Day Honored ❤️</t>
        </is>
      </c>
      <c r="N87" s="8" t="inlineStr"/>
    </row>
    <row r="88" ht="24" customHeight="1">
      <c r="A88" s="10" t="inlineStr">
        <is>
          <t>2027-01-18</t>
        </is>
      </c>
      <c r="B88" s="10" t="n">
        <v>87</v>
      </c>
      <c r="C88" s="10" t="inlineStr">
        <is>
          <t>Monday</t>
        </is>
      </c>
      <c r="D88" s="17">
        <f>IFERROR(SUMIFS('Actual Food Log'!E:E, 'Actual Food Log'!A:A, A88), 0)</f>
        <v/>
      </c>
      <c r="E88" s="18">
        <f>IFERROR(SUMIFS('Actual Food Log'!F:F, 'Actual Food Log'!A:A, A88), 0)</f>
        <v/>
      </c>
      <c r="F88" s="17">
        <f>IFERROR(SUMIFS('Actual Exercise Log'!E:E, 'Actual Exercise Log'!A:A, A88), 0)</f>
        <v/>
      </c>
      <c r="G88" s="17">
        <f>Setup!$B$18</f>
        <v/>
      </c>
      <c r="H88" s="17">
        <f>IF(D88&gt;0, G88 + F88, G88)</f>
        <v/>
      </c>
      <c r="I88" s="17">
        <f>IF(D88&gt;0, H88 - D88, 0)</f>
        <v/>
      </c>
      <c r="J88" s="17">
        <f>Setup!$B$20</f>
        <v/>
      </c>
      <c r="K88" s="17">
        <f>IF(D88&gt;0, D88 - J88, 0)</f>
        <v/>
      </c>
      <c r="L88" s="11" t="inlineStr">
        <is>
          <t>20-Min Full Body Zumba Fiesta &amp; Core Tone</t>
        </is>
      </c>
      <c r="M88" s="10" t="inlineStr">
        <is>
          <t>Pending</t>
        </is>
      </c>
      <c r="N88" s="11" t="inlineStr"/>
    </row>
    <row r="89" ht="24" customHeight="1">
      <c r="A89" s="10" t="inlineStr">
        <is>
          <t>2027-01-19</t>
        </is>
      </c>
      <c r="B89" s="10" t="n">
        <v>88</v>
      </c>
      <c r="C89" s="10" t="inlineStr">
        <is>
          <t>Tuesday</t>
        </is>
      </c>
      <c r="D89" s="17">
        <f>IFERROR(SUMIFS('Actual Food Log'!E:E, 'Actual Food Log'!A:A, A89), 0)</f>
        <v/>
      </c>
      <c r="E89" s="18">
        <f>IFERROR(SUMIFS('Actual Food Log'!F:F, 'Actual Food Log'!A:A, A89), 0)</f>
        <v/>
      </c>
      <c r="F89" s="17">
        <f>IFERROR(SUMIFS('Actual Exercise Log'!E:E, 'Actual Exercise Log'!A:A, A89), 0)</f>
        <v/>
      </c>
      <c r="G89" s="17">
        <f>Setup!$B$18</f>
        <v/>
      </c>
      <c r="H89" s="17">
        <f>IF(D89&gt;0, G89 + F89, G89)</f>
        <v/>
      </c>
      <c r="I89" s="17">
        <f>IF(D89&gt;0, H89 - D89, 0)</f>
        <v/>
      </c>
      <c r="J89" s="17">
        <f>Setup!$B$20</f>
        <v/>
      </c>
      <c r="K89" s="17">
        <f>IF(D89&gt;0, D89 - J89, 0)</f>
        <v/>
      </c>
      <c r="L89" s="11" t="inlineStr">
        <is>
          <t>22-Min High-Spirited Bollywood Beats Zumba Cardio</t>
        </is>
      </c>
      <c r="M89" s="10" t="inlineStr">
        <is>
          <t>Pending</t>
        </is>
      </c>
      <c r="N89" s="11" t="inlineStr"/>
    </row>
    <row r="90" ht="24" customHeight="1">
      <c r="A90" s="7" t="inlineStr">
        <is>
          <t>2027-01-20</t>
        </is>
      </c>
      <c r="B90" s="7" t="n">
        <v>89</v>
      </c>
      <c r="C90" s="7" t="inlineStr">
        <is>
          <t>Wednesday</t>
        </is>
      </c>
      <c r="D90" s="15">
        <f>IFERROR(SUMIFS('Actual Food Log'!E:E, 'Actual Food Log'!A:A, A90), 0)</f>
        <v/>
      </c>
      <c r="E90" s="16">
        <f>IFERROR(SUMIFS('Actual Food Log'!F:F, 'Actual Food Log'!A:A, A90), 0)</f>
        <v/>
      </c>
      <c r="F90" s="15">
        <f>IFERROR(SUMIFS('Actual Exercise Log'!E:E, 'Actual Exercise Log'!A:A, A90), 0)</f>
        <v/>
      </c>
      <c r="G90" s="15">
        <f>Setup!$B$18</f>
        <v/>
      </c>
      <c r="H90" s="15">
        <f>IF(D90&gt;0, G90 + F90, G90)</f>
        <v/>
      </c>
      <c r="I90" s="15">
        <f>IF(D90&gt;0, H90 - D90, 0)</f>
        <v/>
      </c>
      <c r="J90" s="15">
        <f>Setup!$B$20</f>
        <v/>
      </c>
      <c r="K90" s="15">
        <f>IF(D90&gt;0, D90 - J90, 0)</f>
        <v/>
      </c>
      <c r="L90" s="8" t="inlineStr">
        <is>
          <t>REST DAY</t>
        </is>
      </c>
      <c r="M90" s="7" t="inlineStr">
        <is>
          <t>Rest Day Honored ❤️</t>
        </is>
      </c>
      <c r="N90" s="8" t="inlineStr"/>
    </row>
    <row r="91" ht="24" customHeight="1">
      <c r="A91" s="10" t="inlineStr">
        <is>
          <t>2027-01-21</t>
        </is>
      </c>
      <c r="B91" s="10" t="n">
        <v>90</v>
      </c>
      <c r="C91" s="10" t="inlineStr">
        <is>
          <t>Thursday</t>
        </is>
      </c>
      <c r="D91" s="17">
        <f>IFERROR(SUMIFS('Actual Food Log'!E:E, 'Actual Food Log'!A:A, A91), 0)</f>
        <v/>
      </c>
      <c r="E91" s="18">
        <f>IFERROR(SUMIFS('Actual Food Log'!F:F, 'Actual Food Log'!A:A, A91), 0)</f>
        <v/>
      </c>
      <c r="F91" s="17">
        <f>IFERROR(SUMIFS('Actual Exercise Log'!E:E, 'Actual Exercise Log'!A:A, A91), 0)</f>
        <v/>
      </c>
      <c r="G91" s="17">
        <f>Setup!$B$18</f>
        <v/>
      </c>
      <c r="H91" s="17">
        <f>IF(D91&gt;0, G91 + F91, G91)</f>
        <v/>
      </c>
      <c r="I91" s="17">
        <f>IF(D91&gt;0, H91 - D91, 0)</f>
        <v/>
      </c>
      <c r="J91" s="17">
        <f>Setup!$B$20</f>
        <v/>
      </c>
      <c r="K91" s="17">
        <f>IF(D91&gt;0, D91 - J91, 0)</f>
        <v/>
      </c>
      <c r="L91" s="11" t="inlineStr">
        <is>
          <t>20-Min Full Body Zumba Fiesta &amp; Core Tone</t>
        </is>
      </c>
      <c r="M91" s="10" t="inlineStr">
        <is>
          <t>Pending</t>
        </is>
      </c>
      <c r="N91" s="11" t="inlineStr"/>
    </row>
    <row r="92" ht="24" customHeight="1">
      <c r="A92" s="10" t="inlineStr">
        <is>
          <t>2027-01-22</t>
        </is>
      </c>
      <c r="B92" s="10" t="n">
        <v>91</v>
      </c>
      <c r="C92" s="10" t="inlineStr">
        <is>
          <t>Friday</t>
        </is>
      </c>
      <c r="D92" s="17">
        <f>IFERROR(SUMIFS('Actual Food Log'!E:E, 'Actual Food Log'!A:A, A92), 0)</f>
        <v/>
      </c>
      <c r="E92" s="18">
        <f>IFERROR(SUMIFS('Actual Food Log'!F:F, 'Actual Food Log'!A:A, A92), 0)</f>
        <v/>
      </c>
      <c r="F92" s="17">
        <f>IFERROR(SUMIFS('Actual Exercise Log'!E:E, 'Actual Exercise Log'!A:A, A92), 0)</f>
        <v/>
      </c>
      <c r="G92" s="17">
        <f>Setup!$B$18</f>
        <v/>
      </c>
      <c r="H92" s="17">
        <f>IF(D92&gt;0, G92 + F92, G92)</f>
        <v/>
      </c>
      <c r="I92" s="17">
        <f>IF(D92&gt;0, H92 - D92, 0)</f>
        <v/>
      </c>
      <c r="J92" s="17">
        <f>Setup!$B$20</f>
        <v/>
      </c>
      <c r="K92" s="17">
        <f>IF(D92&gt;0, D92 - J92, 0)</f>
        <v/>
      </c>
      <c r="L92" s="11" t="inlineStr">
        <is>
          <t>22-Min High-Spirited Bollywood Beats Zumba Cardio</t>
        </is>
      </c>
      <c r="M92" s="10" t="inlineStr">
        <is>
          <t>Pending</t>
        </is>
      </c>
      <c r="N92" s="11" t="inlineStr"/>
    </row>
    <row r="93" ht="24" customHeight="1">
      <c r="A93" s="7" t="inlineStr">
        <is>
          <t>2027-01-23</t>
        </is>
      </c>
      <c r="B93" s="7" t="n">
        <v>92</v>
      </c>
      <c r="C93" s="7" t="inlineStr">
        <is>
          <t>Saturday</t>
        </is>
      </c>
      <c r="D93" s="15">
        <f>IFERROR(SUMIFS('Actual Food Log'!E:E, 'Actual Food Log'!A:A, A93), 0)</f>
        <v/>
      </c>
      <c r="E93" s="16">
        <f>IFERROR(SUMIFS('Actual Food Log'!F:F, 'Actual Food Log'!A:A, A93), 0)</f>
        <v/>
      </c>
      <c r="F93" s="15">
        <f>IFERROR(SUMIFS('Actual Exercise Log'!E:E, 'Actual Exercise Log'!A:A, A93), 0)</f>
        <v/>
      </c>
      <c r="G93" s="15">
        <f>Setup!$B$18</f>
        <v/>
      </c>
      <c r="H93" s="15">
        <f>IF(D93&gt;0, G93 + F93, G93)</f>
        <v/>
      </c>
      <c r="I93" s="15">
        <f>IF(D93&gt;0, H93 - D93, 0)</f>
        <v/>
      </c>
      <c r="J93" s="15">
        <f>Setup!$B$20</f>
        <v/>
      </c>
      <c r="K93" s="15">
        <f>IF(D93&gt;0, D93 - J93, 0)</f>
        <v/>
      </c>
      <c r="L93" s="8" t="inlineStr">
        <is>
          <t>REST DAY</t>
        </is>
      </c>
      <c r="M93" s="7" t="inlineStr">
        <is>
          <t>Rest Day Honored ❤️</t>
        </is>
      </c>
      <c r="N93" s="8" t="inlineStr"/>
    </row>
    <row r="94" ht="24" customHeight="1">
      <c r="A94" s="7" t="inlineStr">
        <is>
          <t>2027-01-24</t>
        </is>
      </c>
      <c r="B94" s="7" t="n">
        <v>93</v>
      </c>
      <c r="C94" s="7" t="inlineStr">
        <is>
          <t>Sunday</t>
        </is>
      </c>
      <c r="D94" s="15">
        <f>IFERROR(SUMIFS('Actual Food Log'!E:E, 'Actual Food Log'!A:A, A94), 0)</f>
        <v/>
      </c>
      <c r="E94" s="16">
        <f>IFERROR(SUMIFS('Actual Food Log'!F:F, 'Actual Food Log'!A:A, A94), 0)</f>
        <v/>
      </c>
      <c r="F94" s="15">
        <f>IFERROR(SUMIFS('Actual Exercise Log'!E:E, 'Actual Exercise Log'!A:A, A94), 0)</f>
        <v/>
      </c>
      <c r="G94" s="15">
        <f>Setup!$B$18</f>
        <v/>
      </c>
      <c r="H94" s="15">
        <f>IF(D94&gt;0, G94 + F94, G94)</f>
        <v/>
      </c>
      <c r="I94" s="15">
        <f>IF(D94&gt;0, H94 - D94, 0)</f>
        <v/>
      </c>
      <c r="J94" s="15">
        <f>Setup!$B$20</f>
        <v/>
      </c>
      <c r="K94" s="15">
        <f>IF(D94&gt;0, D94 - J94, 0)</f>
        <v/>
      </c>
      <c r="L94" s="8" t="inlineStr">
        <is>
          <t>REST DAY</t>
        </is>
      </c>
      <c r="M94" s="7" t="inlineStr">
        <is>
          <t>Rest Day Honored ❤️</t>
        </is>
      </c>
      <c r="N94" s="8" t="inlineStr"/>
    </row>
    <row r="95" ht="24" customHeight="1">
      <c r="A95" s="10" t="inlineStr">
        <is>
          <t>2027-01-25</t>
        </is>
      </c>
      <c r="B95" s="10" t="n">
        <v>94</v>
      </c>
      <c r="C95" s="10" t="inlineStr">
        <is>
          <t>Monday</t>
        </is>
      </c>
      <c r="D95" s="17">
        <f>IFERROR(SUMIFS('Actual Food Log'!E:E, 'Actual Food Log'!A:A, A95), 0)</f>
        <v/>
      </c>
      <c r="E95" s="18">
        <f>IFERROR(SUMIFS('Actual Food Log'!F:F, 'Actual Food Log'!A:A, A95), 0)</f>
        <v/>
      </c>
      <c r="F95" s="17">
        <f>IFERROR(SUMIFS('Actual Exercise Log'!E:E, 'Actual Exercise Log'!A:A, A95), 0)</f>
        <v/>
      </c>
      <c r="G95" s="17">
        <f>Setup!$B$18</f>
        <v/>
      </c>
      <c r="H95" s="17">
        <f>IF(D95&gt;0, G95 + F95, G95)</f>
        <v/>
      </c>
      <c r="I95" s="17">
        <f>IF(D95&gt;0, H95 - D95, 0)</f>
        <v/>
      </c>
      <c r="J95" s="17">
        <f>Setup!$B$20</f>
        <v/>
      </c>
      <c r="K95" s="17">
        <f>IF(D95&gt;0, D95 - J95, 0)</f>
        <v/>
      </c>
      <c r="L95" s="11" t="inlineStr">
        <is>
          <t>20-Min Full Body Zumba Fiesta &amp; Core Tone</t>
        </is>
      </c>
      <c r="M95" s="10" t="inlineStr">
        <is>
          <t>Pending</t>
        </is>
      </c>
      <c r="N95" s="11" t="inlineStr"/>
    </row>
    <row r="96" ht="24" customHeight="1">
      <c r="A96" s="10" t="inlineStr">
        <is>
          <t>2027-01-26</t>
        </is>
      </c>
      <c r="B96" s="10" t="n">
        <v>95</v>
      </c>
      <c r="C96" s="10" t="inlineStr">
        <is>
          <t>Tuesday</t>
        </is>
      </c>
      <c r="D96" s="17">
        <f>IFERROR(SUMIFS('Actual Food Log'!E:E, 'Actual Food Log'!A:A, A96), 0)</f>
        <v/>
      </c>
      <c r="E96" s="18">
        <f>IFERROR(SUMIFS('Actual Food Log'!F:F, 'Actual Food Log'!A:A, A96), 0)</f>
        <v/>
      </c>
      <c r="F96" s="17">
        <f>IFERROR(SUMIFS('Actual Exercise Log'!E:E, 'Actual Exercise Log'!A:A, A96), 0)</f>
        <v/>
      </c>
      <c r="G96" s="17">
        <f>Setup!$B$18</f>
        <v/>
      </c>
      <c r="H96" s="17">
        <f>IF(D96&gt;0, G96 + F96, G96)</f>
        <v/>
      </c>
      <c r="I96" s="17">
        <f>IF(D96&gt;0, H96 - D96, 0)</f>
        <v/>
      </c>
      <c r="J96" s="17">
        <f>Setup!$B$20</f>
        <v/>
      </c>
      <c r="K96" s="17">
        <f>IF(D96&gt;0, D96 - J96, 0)</f>
        <v/>
      </c>
      <c r="L96" s="11" t="inlineStr">
        <is>
          <t>22-Min High-Spirited Bollywood Beats Zumba Cardio</t>
        </is>
      </c>
      <c r="M96" s="10" t="inlineStr">
        <is>
          <t>Pending</t>
        </is>
      </c>
      <c r="N96" s="11" t="inlineStr"/>
    </row>
    <row r="97" ht="24" customHeight="1">
      <c r="A97" s="7" t="inlineStr">
        <is>
          <t>2027-01-27</t>
        </is>
      </c>
      <c r="B97" s="7" t="n">
        <v>96</v>
      </c>
      <c r="C97" s="7" t="inlineStr">
        <is>
          <t>Wednesday</t>
        </is>
      </c>
      <c r="D97" s="15">
        <f>IFERROR(SUMIFS('Actual Food Log'!E:E, 'Actual Food Log'!A:A, A97), 0)</f>
        <v/>
      </c>
      <c r="E97" s="16">
        <f>IFERROR(SUMIFS('Actual Food Log'!F:F, 'Actual Food Log'!A:A, A97), 0)</f>
        <v/>
      </c>
      <c r="F97" s="15">
        <f>IFERROR(SUMIFS('Actual Exercise Log'!E:E, 'Actual Exercise Log'!A:A, A97), 0)</f>
        <v/>
      </c>
      <c r="G97" s="15">
        <f>Setup!$B$18</f>
        <v/>
      </c>
      <c r="H97" s="15">
        <f>IF(D97&gt;0, G97 + F97, G97)</f>
        <v/>
      </c>
      <c r="I97" s="15">
        <f>IF(D97&gt;0, H97 - D97, 0)</f>
        <v/>
      </c>
      <c r="J97" s="15">
        <f>Setup!$B$20</f>
        <v/>
      </c>
      <c r="K97" s="15">
        <f>IF(D97&gt;0, D97 - J97, 0)</f>
        <v/>
      </c>
      <c r="L97" s="8" t="inlineStr">
        <is>
          <t>REST DAY</t>
        </is>
      </c>
      <c r="M97" s="7" t="inlineStr">
        <is>
          <t>Rest Day Honored ❤️</t>
        </is>
      </c>
      <c r="N97" s="8" t="inlineStr"/>
    </row>
    <row r="98" ht="24" customHeight="1">
      <c r="A98" s="10" t="inlineStr">
        <is>
          <t>2027-01-28</t>
        </is>
      </c>
      <c r="B98" s="10" t="n">
        <v>97</v>
      </c>
      <c r="C98" s="10" t="inlineStr">
        <is>
          <t>Thursday</t>
        </is>
      </c>
      <c r="D98" s="17">
        <f>IFERROR(SUMIFS('Actual Food Log'!E:E, 'Actual Food Log'!A:A, A98), 0)</f>
        <v/>
      </c>
      <c r="E98" s="18">
        <f>IFERROR(SUMIFS('Actual Food Log'!F:F, 'Actual Food Log'!A:A, A98), 0)</f>
        <v/>
      </c>
      <c r="F98" s="17">
        <f>IFERROR(SUMIFS('Actual Exercise Log'!E:E, 'Actual Exercise Log'!A:A, A98), 0)</f>
        <v/>
      </c>
      <c r="G98" s="17">
        <f>Setup!$B$18</f>
        <v/>
      </c>
      <c r="H98" s="17">
        <f>IF(D98&gt;0, G98 + F98, G98)</f>
        <v/>
      </c>
      <c r="I98" s="17">
        <f>IF(D98&gt;0, H98 - D98, 0)</f>
        <v/>
      </c>
      <c r="J98" s="17">
        <f>Setup!$B$20</f>
        <v/>
      </c>
      <c r="K98" s="17">
        <f>IF(D98&gt;0, D98 - J98, 0)</f>
        <v/>
      </c>
      <c r="L98" s="11" t="inlineStr">
        <is>
          <t>20-Min Full Body Zumba Fiesta &amp; Core Tone</t>
        </is>
      </c>
      <c r="M98" s="10" t="inlineStr">
        <is>
          <t>Pending</t>
        </is>
      </c>
      <c r="N98" s="11" t="inlineStr"/>
    </row>
    <row r="99" ht="24" customHeight="1">
      <c r="A99" s="10" t="inlineStr">
        <is>
          <t>2027-01-29</t>
        </is>
      </c>
      <c r="B99" s="10" t="n">
        <v>98</v>
      </c>
      <c r="C99" s="10" t="inlineStr">
        <is>
          <t>Friday</t>
        </is>
      </c>
      <c r="D99" s="17">
        <f>IFERROR(SUMIFS('Actual Food Log'!E:E, 'Actual Food Log'!A:A, A99), 0)</f>
        <v/>
      </c>
      <c r="E99" s="18">
        <f>IFERROR(SUMIFS('Actual Food Log'!F:F, 'Actual Food Log'!A:A, A99), 0)</f>
        <v/>
      </c>
      <c r="F99" s="17">
        <f>IFERROR(SUMIFS('Actual Exercise Log'!E:E, 'Actual Exercise Log'!A:A, A99), 0)</f>
        <v/>
      </c>
      <c r="G99" s="17">
        <f>Setup!$B$18</f>
        <v/>
      </c>
      <c r="H99" s="17">
        <f>IF(D99&gt;0, G99 + F99, G99)</f>
        <v/>
      </c>
      <c r="I99" s="17">
        <f>IF(D99&gt;0, H99 - D99, 0)</f>
        <v/>
      </c>
      <c r="J99" s="17">
        <f>Setup!$B$20</f>
        <v/>
      </c>
      <c r="K99" s="17">
        <f>IF(D99&gt;0, D99 - J99, 0)</f>
        <v/>
      </c>
      <c r="L99" s="11" t="inlineStr">
        <is>
          <t>22-Min High-Spirited Bollywood Beats Zumba Cardio</t>
        </is>
      </c>
      <c r="M99" s="10" t="inlineStr">
        <is>
          <t>Pending</t>
        </is>
      </c>
      <c r="N99" s="11" t="inlineStr"/>
    </row>
    <row r="100" ht="24" customHeight="1">
      <c r="A100" s="7" t="inlineStr">
        <is>
          <t>2027-01-30</t>
        </is>
      </c>
      <c r="B100" s="7" t="n">
        <v>99</v>
      </c>
      <c r="C100" s="7" t="inlineStr">
        <is>
          <t>Saturday</t>
        </is>
      </c>
      <c r="D100" s="15">
        <f>IFERROR(SUMIFS('Actual Food Log'!E:E, 'Actual Food Log'!A:A, A100), 0)</f>
        <v/>
      </c>
      <c r="E100" s="16">
        <f>IFERROR(SUMIFS('Actual Food Log'!F:F, 'Actual Food Log'!A:A, A100), 0)</f>
        <v/>
      </c>
      <c r="F100" s="15">
        <f>IFERROR(SUMIFS('Actual Exercise Log'!E:E, 'Actual Exercise Log'!A:A, A100), 0)</f>
        <v/>
      </c>
      <c r="G100" s="15">
        <f>Setup!$B$18</f>
        <v/>
      </c>
      <c r="H100" s="15">
        <f>IF(D100&gt;0, G100 + F100, G100)</f>
        <v/>
      </c>
      <c r="I100" s="15">
        <f>IF(D100&gt;0, H100 - D100, 0)</f>
        <v/>
      </c>
      <c r="J100" s="15">
        <f>Setup!$B$20</f>
        <v/>
      </c>
      <c r="K100" s="15">
        <f>IF(D100&gt;0, D100 - J100, 0)</f>
        <v/>
      </c>
      <c r="L100" s="8" t="inlineStr">
        <is>
          <t>REST DAY</t>
        </is>
      </c>
      <c r="M100" s="7" t="inlineStr">
        <is>
          <t>Rest Day Honored ❤️</t>
        </is>
      </c>
      <c r="N100" s="8" t="inlineStr"/>
    </row>
    <row r="101" ht="24" customHeight="1">
      <c r="A101" s="7" t="inlineStr">
        <is>
          <t>2027-01-31</t>
        </is>
      </c>
      <c r="B101" s="7" t="n">
        <v>100</v>
      </c>
      <c r="C101" s="7" t="inlineStr">
        <is>
          <t>Sunday</t>
        </is>
      </c>
      <c r="D101" s="15">
        <f>IFERROR(SUMIFS('Actual Food Log'!E:E, 'Actual Food Log'!A:A, A101), 0)</f>
        <v/>
      </c>
      <c r="E101" s="16">
        <f>IFERROR(SUMIFS('Actual Food Log'!F:F, 'Actual Food Log'!A:A, A101), 0)</f>
        <v/>
      </c>
      <c r="F101" s="15">
        <f>IFERROR(SUMIFS('Actual Exercise Log'!E:E, 'Actual Exercise Log'!A:A, A101), 0)</f>
        <v/>
      </c>
      <c r="G101" s="15">
        <f>Setup!$B$18</f>
        <v/>
      </c>
      <c r="H101" s="15">
        <f>IF(D101&gt;0, G101 + F101, G101)</f>
        <v/>
      </c>
      <c r="I101" s="15">
        <f>IF(D101&gt;0, H101 - D101, 0)</f>
        <v/>
      </c>
      <c r="J101" s="15">
        <f>Setup!$B$20</f>
        <v/>
      </c>
      <c r="K101" s="15">
        <f>IF(D101&gt;0, D101 - J101, 0)</f>
        <v/>
      </c>
      <c r="L101" s="8" t="inlineStr">
        <is>
          <t>REST DAY</t>
        </is>
      </c>
      <c r="M101" s="7" t="inlineStr">
        <is>
          <t>Rest Day Honored ❤️</t>
        </is>
      </c>
      <c r="N101" s="8" t="inlineStr"/>
    </row>
    <row r="102" ht="24" customHeight="1">
      <c r="A102" s="10" t="inlineStr">
        <is>
          <t>2027-02-01</t>
        </is>
      </c>
      <c r="B102" s="10" t="n">
        <v>101</v>
      </c>
      <c r="C102" s="10" t="inlineStr">
        <is>
          <t>Monday</t>
        </is>
      </c>
      <c r="D102" s="17">
        <f>IFERROR(SUMIFS('Actual Food Log'!E:E, 'Actual Food Log'!A:A, A102), 0)</f>
        <v/>
      </c>
      <c r="E102" s="18">
        <f>IFERROR(SUMIFS('Actual Food Log'!F:F, 'Actual Food Log'!A:A, A102), 0)</f>
        <v/>
      </c>
      <c r="F102" s="17">
        <f>IFERROR(SUMIFS('Actual Exercise Log'!E:E, 'Actual Exercise Log'!A:A, A102), 0)</f>
        <v/>
      </c>
      <c r="G102" s="17">
        <f>Setup!$B$18</f>
        <v/>
      </c>
      <c r="H102" s="17">
        <f>IF(D102&gt;0, G102 + F102, G102)</f>
        <v/>
      </c>
      <c r="I102" s="17">
        <f>IF(D102&gt;0, H102 - D102, 0)</f>
        <v/>
      </c>
      <c r="J102" s="17">
        <f>Setup!$B$20</f>
        <v/>
      </c>
      <c r="K102" s="17">
        <f>IF(D102&gt;0, D102 - J102, 0)</f>
        <v/>
      </c>
      <c r="L102" s="11" t="inlineStr">
        <is>
          <t>20-Min Full Body Zumba Fiesta &amp; Core Tone</t>
        </is>
      </c>
      <c r="M102" s="10" t="inlineStr">
        <is>
          <t>Pending</t>
        </is>
      </c>
      <c r="N102" s="11" t="inlineStr"/>
    </row>
    <row r="103" ht="24" customHeight="1">
      <c r="A103" s="10" t="inlineStr">
        <is>
          <t>2027-02-02</t>
        </is>
      </c>
      <c r="B103" s="10" t="n">
        <v>102</v>
      </c>
      <c r="C103" s="10" t="inlineStr">
        <is>
          <t>Tuesday</t>
        </is>
      </c>
      <c r="D103" s="17">
        <f>IFERROR(SUMIFS('Actual Food Log'!E:E, 'Actual Food Log'!A:A, A103), 0)</f>
        <v/>
      </c>
      <c r="E103" s="18">
        <f>IFERROR(SUMIFS('Actual Food Log'!F:F, 'Actual Food Log'!A:A, A103), 0)</f>
        <v/>
      </c>
      <c r="F103" s="17">
        <f>IFERROR(SUMIFS('Actual Exercise Log'!E:E, 'Actual Exercise Log'!A:A, A103), 0)</f>
        <v/>
      </c>
      <c r="G103" s="17">
        <f>Setup!$B$18</f>
        <v/>
      </c>
      <c r="H103" s="17">
        <f>IF(D103&gt;0, G103 + F103, G103)</f>
        <v/>
      </c>
      <c r="I103" s="17">
        <f>IF(D103&gt;0, H103 - D103, 0)</f>
        <v/>
      </c>
      <c r="J103" s="17">
        <f>Setup!$B$20</f>
        <v/>
      </c>
      <c r="K103" s="17">
        <f>IF(D103&gt;0, D103 - J103, 0)</f>
        <v/>
      </c>
      <c r="L103" s="11" t="inlineStr">
        <is>
          <t>22-Min High-Spirited Bollywood Beats Zumba Cardio</t>
        </is>
      </c>
      <c r="M103" s="10" t="inlineStr">
        <is>
          <t>Pending</t>
        </is>
      </c>
      <c r="N103" s="11" t="inlineStr"/>
    </row>
    <row r="104" ht="24" customHeight="1">
      <c r="A104" s="7" t="inlineStr">
        <is>
          <t>2027-02-03</t>
        </is>
      </c>
      <c r="B104" s="7" t="n">
        <v>103</v>
      </c>
      <c r="C104" s="7" t="inlineStr">
        <is>
          <t>Wednesday</t>
        </is>
      </c>
      <c r="D104" s="15">
        <f>IFERROR(SUMIFS('Actual Food Log'!E:E, 'Actual Food Log'!A:A, A104), 0)</f>
        <v/>
      </c>
      <c r="E104" s="16">
        <f>IFERROR(SUMIFS('Actual Food Log'!F:F, 'Actual Food Log'!A:A, A104), 0)</f>
        <v/>
      </c>
      <c r="F104" s="15">
        <f>IFERROR(SUMIFS('Actual Exercise Log'!E:E, 'Actual Exercise Log'!A:A, A104), 0)</f>
        <v/>
      </c>
      <c r="G104" s="15">
        <f>Setup!$B$18</f>
        <v/>
      </c>
      <c r="H104" s="15">
        <f>IF(D104&gt;0, G104 + F104, G104)</f>
        <v/>
      </c>
      <c r="I104" s="15">
        <f>IF(D104&gt;0, H104 - D104, 0)</f>
        <v/>
      </c>
      <c r="J104" s="15">
        <f>Setup!$B$20</f>
        <v/>
      </c>
      <c r="K104" s="15">
        <f>IF(D104&gt;0, D104 - J104, 0)</f>
        <v/>
      </c>
      <c r="L104" s="8" t="inlineStr">
        <is>
          <t>REST DAY</t>
        </is>
      </c>
      <c r="M104" s="7" t="inlineStr">
        <is>
          <t>Rest Day Honored ❤️</t>
        </is>
      </c>
      <c r="N104" s="8" t="inlineStr"/>
    </row>
    <row r="105" ht="24" customHeight="1">
      <c r="A105" s="10" t="inlineStr">
        <is>
          <t>2027-02-04</t>
        </is>
      </c>
      <c r="B105" s="10" t="n">
        <v>104</v>
      </c>
      <c r="C105" s="10" t="inlineStr">
        <is>
          <t>Thursday</t>
        </is>
      </c>
      <c r="D105" s="17">
        <f>IFERROR(SUMIFS('Actual Food Log'!E:E, 'Actual Food Log'!A:A, A105), 0)</f>
        <v/>
      </c>
      <c r="E105" s="18">
        <f>IFERROR(SUMIFS('Actual Food Log'!F:F, 'Actual Food Log'!A:A, A105), 0)</f>
        <v/>
      </c>
      <c r="F105" s="17">
        <f>IFERROR(SUMIFS('Actual Exercise Log'!E:E, 'Actual Exercise Log'!A:A, A105), 0)</f>
        <v/>
      </c>
      <c r="G105" s="17">
        <f>Setup!$B$18</f>
        <v/>
      </c>
      <c r="H105" s="17">
        <f>IF(D105&gt;0, G105 + F105, G105)</f>
        <v/>
      </c>
      <c r="I105" s="17">
        <f>IF(D105&gt;0, H105 - D105, 0)</f>
        <v/>
      </c>
      <c r="J105" s="17">
        <f>Setup!$B$20</f>
        <v/>
      </c>
      <c r="K105" s="17">
        <f>IF(D105&gt;0, D105 - J105, 0)</f>
        <v/>
      </c>
      <c r="L105" s="11" t="inlineStr">
        <is>
          <t>20-Min Full Body Zumba Fiesta &amp; Core Tone</t>
        </is>
      </c>
      <c r="M105" s="10" t="inlineStr">
        <is>
          <t>Pending</t>
        </is>
      </c>
      <c r="N105" s="11" t="inlineStr"/>
    </row>
    <row r="106" ht="24" customHeight="1">
      <c r="A106" s="10" t="inlineStr">
        <is>
          <t>2027-02-05</t>
        </is>
      </c>
      <c r="B106" s="10" t="n">
        <v>105</v>
      </c>
      <c r="C106" s="10" t="inlineStr">
        <is>
          <t>Friday</t>
        </is>
      </c>
      <c r="D106" s="17">
        <f>IFERROR(SUMIFS('Actual Food Log'!E:E, 'Actual Food Log'!A:A, A106), 0)</f>
        <v/>
      </c>
      <c r="E106" s="18">
        <f>IFERROR(SUMIFS('Actual Food Log'!F:F, 'Actual Food Log'!A:A, A106), 0)</f>
        <v/>
      </c>
      <c r="F106" s="17">
        <f>IFERROR(SUMIFS('Actual Exercise Log'!E:E, 'Actual Exercise Log'!A:A, A106), 0)</f>
        <v/>
      </c>
      <c r="G106" s="17">
        <f>Setup!$B$18</f>
        <v/>
      </c>
      <c r="H106" s="17">
        <f>IF(D106&gt;0, G106 + F106, G106)</f>
        <v/>
      </c>
      <c r="I106" s="17">
        <f>IF(D106&gt;0, H106 - D106, 0)</f>
        <v/>
      </c>
      <c r="J106" s="17">
        <f>Setup!$B$20</f>
        <v/>
      </c>
      <c r="K106" s="17">
        <f>IF(D106&gt;0, D106 - J106, 0)</f>
        <v/>
      </c>
      <c r="L106" s="11" t="inlineStr">
        <is>
          <t>22-Min High-Spirited Bollywood Beats Zumba Cardio</t>
        </is>
      </c>
      <c r="M106" s="10" t="inlineStr">
        <is>
          <t>Pending</t>
        </is>
      </c>
      <c r="N106" s="11" t="inlineStr"/>
    </row>
    <row r="107" ht="24" customHeight="1">
      <c r="A107" s="7" t="inlineStr">
        <is>
          <t>2027-02-06</t>
        </is>
      </c>
      <c r="B107" s="7" t="n">
        <v>106</v>
      </c>
      <c r="C107" s="7" t="inlineStr">
        <is>
          <t>Saturday</t>
        </is>
      </c>
      <c r="D107" s="15">
        <f>IFERROR(SUMIFS('Actual Food Log'!E:E, 'Actual Food Log'!A:A, A107), 0)</f>
        <v/>
      </c>
      <c r="E107" s="16">
        <f>IFERROR(SUMIFS('Actual Food Log'!F:F, 'Actual Food Log'!A:A, A107), 0)</f>
        <v/>
      </c>
      <c r="F107" s="15">
        <f>IFERROR(SUMIFS('Actual Exercise Log'!E:E, 'Actual Exercise Log'!A:A, A107), 0)</f>
        <v/>
      </c>
      <c r="G107" s="15">
        <f>Setup!$B$18</f>
        <v/>
      </c>
      <c r="H107" s="15">
        <f>IF(D107&gt;0, G107 + F107, G107)</f>
        <v/>
      </c>
      <c r="I107" s="15">
        <f>IF(D107&gt;0, H107 - D107, 0)</f>
        <v/>
      </c>
      <c r="J107" s="15">
        <f>Setup!$B$20</f>
        <v/>
      </c>
      <c r="K107" s="15">
        <f>IF(D107&gt;0, D107 - J107, 0)</f>
        <v/>
      </c>
      <c r="L107" s="8" t="inlineStr">
        <is>
          <t>REST DAY</t>
        </is>
      </c>
      <c r="M107" s="7" t="inlineStr">
        <is>
          <t>Rest Day Honored ❤️</t>
        </is>
      </c>
      <c r="N107" s="8" t="inlineStr"/>
    </row>
    <row r="108" ht="24" customHeight="1">
      <c r="A108" s="7" t="inlineStr">
        <is>
          <t>2027-02-07</t>
        </is>
      </c>
      <c r="B108" s="7" t="n">
        <v>107</v>
      </c>
      <c r="C108" s="7" t="inlineStr">
        <is>
          <t>Sunday</t>
        </is>
      </c>
      <c r="D108" s="15">
        <f>IFERROR(SUMIFS('Actual Food Log'!E:E, 'Actual Food Log'!A:A, A108), 0)</f>
        <v/>
      </c>
      <c r="E108" s="16">
        <f>IFERROR(SUMIFS('Actual Food Log'!F:F, 'Actual Food Log'!A:A, A108), 0)</f>
        <v/>
      </c>
      <c r="F108" s="15">
        <f>IFERROR(SUMIFS('Actual Exercise Log'!E:E, 'Actual Exercise Log'!A:A, A108), 0)</f>
        <v/>
      </c>
      <c r="G108" s="15">
        <f>Setup!$B$18</f>
        <v/>
      </c>
      <c r="H108" s="15">
        <f>IF(D108&gt;0, G108 + F108, G108)</f>
        <v/>
      </c>
      <c r="I108" s="15">
        <f>IF(D108&gt;0, H108 - D108, 0)</f>
        <v/>
      </c>
      <c r="J108" s="15">
        <f>Setup!$B$20</f>
        <v/>
      </c>
      <c r="K108" s="15">
        <f>IF(D108&gt;0, D108 - J108, 0)</f>
        <v/>
      </c>
      <c r="L108" s="8" t="inlineStr">
        <is>
          <t>REST DAY</t>
        </is>
      </c>
      <c r="M108" s="7" t="inlineStr">
        <is>
          <t>Rest Day Honored ❤️</t>
        </is>
      </c>
      <c r="N108" s="8" t="inlineStr"/>
    </row>
    <row r="109" ht="24" customHeight="1">
      <c r="A109" s="10" t="inlineStr">
        <is>
          <t>2027-02-08</t>
        </is>
      </c>
      <c r="B109" s="10" t="n">
        <v>108</v>
      </c>
      <c r="C109" s="10" t="inlineStr">
        <is>
          <t>Monday</t>
        </is>
      </c>
      <c r="D109" s="17">
        <f>IFERROR(SUMIFS('Actual Food Log'!E:E, 'Actual Food Log'!A:A, A109), 0)</f>
        <v/>
      </c>
      <c r="E109" s="18">
        <f>IFERROR(SUMIFS('Actual Food Log'!F:F, 'Actual Food Log'!A:A, A109), 0)</f>
        <v/>
      </c>
      <c r="F109" s="17">
        <f>IFERROR(SUMIFS('Actual Exercise Log'!E:E, 'Actual Exercise Log'!A:A, A109), 0)</f>
        <v/>
      </c>
      <c r="G109" s="17">
        <f>Setup!$B$18</f>
        <v/>
      </c>
      <c r="H109" s="17">
        <f>IF(D109&gt;0, G109 + F109, G109)</f>
        <v/>
      </c>
      <c r="I109" s="17">
        <f>IF(D109&gt;0, H109 - D109, 0)</f>
        <v/>
      </c>
      <c r="J109" s="17">
        <f>Setup!$B$20</f>
        <v/>
      </c>
      <c r="K109" s="17">
        <f>IF(D109&gt;0, D109 - J109, 0)</f>
        <v/>
      </c>
      <c r="L109" s="11" t="inlineStr">
        <is>
          <t>20-Min Full Body Zumba Fiesta &amp; Core Tone</t>
        </is>
      </c>
      <c r="M109" s="10" t="inlineStr">
        <is>
          <t>Pending</t>
        </is>
      </c>
      <c r="N109" s="11" t="inlineStr"/>
    </row>
    <row r="110" ht="24" customHeight="1">
      <c r="A110" s="10" t="inlineStr">
        <is>
          <t>2027-02-09</t>
        </is>
      </c>
      <c r="B110" s="10" t="n">
        <v>109</v>
      </c>
      <c r="C110" s="10" t="inlineStr">
        <is>
          <t>Tuesday</t>
        </is>
      </c>
      <c r="D110" s="17">
        <f>IFERROR(SUMIFS('Actual Food Log'!E:E, 'Actual Food Log'!A:A, A110), 0)</f>
        <v/>
      </c>
      <c r="E110" s="18">
        <f>IFERROR(SUMIFS('Actual Food Log'!F:F, 'Actual Food Log'!A:A, A110), 0)</f>
        <v/>
      </c>
      <c r="F110" s="17">
        <f>IFERROR(SUMIFS('Actual Exercise Log'!E:E, 'Actual Exercise Log'!A:A, A110), 0)</f>
        <v/>
      </c>
      <c r="G110" s="17">
        <f>Setup!$B$18</f>
        <v/>
      </c>
      <c r="H110" s="17">
        <f>IF(D110&gt;0, G110 + F110, G110)</f>
        <v/>
      </c>
      <c r="I110" s="17">
        <f>IF(D110&gt;0, H110 - D110, 0)</f>
        <v/>
      </c>
      <c r="J110" s="17">
        <f>Setup!$B$20</f>
        <v/>
      </c>
      <c r="K110" s="17">
        <f>IF(D110&gt;0, D110 - J110, 0)</f>
        <v/>
      </c>
      <c r="L110" s="11" t="inlineStr">
        <is>
          <t>22-Min High-Spirited Bollywood Beats Zumba Cardio</t>
        </is>
      </c>
      <c r="M110" s="10" t="inlineStr">
        <is>
          <t>Pending</t>
        </is>
      </c>
      <c r="N110" s="11" t="inlineStr"/>
    </row>
    <row r="111" ht="24" customHeight="1">
      <c r="A111" s="7" t="inlineStr">
        <is>
          <t>2027-02-10</t>
        </is>
      </c>
      <c r="B111" s="7" t="n">
        <v>110</v>
      </c>
      <c r="C111" s="7" t="inlineStr">
        <is>
          <t>Wednesday</t>
        </is>
      </c>
      <c r="D111" s="15">
        <f>IFERROR(SUMIFS('Actual Food Log'!E:E, 'Actual Food Log'!A:A, A111), 0)</f>
        <v/>
      </c>
      <c r="E111" s="16">
        <f>IFERROR(SUMIFS('Actual Food Log'!F:F, 'Actual Food Log'!A:A, A111), 0)</f>
        <v/>
      </c>
      <c r="F111" s="15">
        <f>IFERROR(SUMIFS('Actual Exercise Log'!E:E, 'Actual Exercise Log'!A:A, A111), 0)</f>
        <v/>
      </c>
      <c r="G111" s="15">
        <f>Setup!$B$18</f>
        <v/>
      </c>
      <c r="H111" s="15">
        <f>IF(D111&gt;0, G111 + F111, G111)</f>
        <v/>
      </c>
      <c r="I111" s="15">
        <f>IF(D111&gt;0, H111 - D111, 0)</f>
        <v/>
      </c>
      <c r="J111" s="15">
        <f>Setup!$B$20</f>
        <v/>
      </c>
      <c r="K111" s="15">
        <f>IF(D111&gt;0, D111 - J111, 0)</f>
        <v/>
      </c>
      <c r="L111" s="8" t="inlineStr">
        <is>
          <t>REST DAY</t>
        </is>
      </c>
      <c r="M111" s="7" t="inlineStr">
        <is>
          <t>Rest Day Honored ❤️</t>
        </is>
      </c>
      <c r="N111" s="8" t="inlineStr"/>
    </row>
    <row r="112" ht="24" customHeight="1">
      <c r="A112" s="10" t="inlineStr">
        <is>
          <t>2027-02-11</t>
        </is>
      </c>
      <c r="B112" s="10" t="n">
        <v>111</v>
      </c>
      <c r="C112" s="10" t="inlineStr">
        <is>
          <t>Thursday</t>
        </is>
      </c>
      <c r="D112" s="17">
        <f>IFERROR(SUMIFS('Actual Food Log'!E:E, 'Actual Food Log'!A:A, A112), 0)</f>
        <v/>
      </c>
      <c r="E112" s="18">
        <f>IFERROR(SUMIFS('Actual Food Log'!F:F, 'Actual Food Log'!A:A, A112), 0)</f>
        <v/>
      </c>
      <c r="F112" s="17">
        <f>IFERROR(SUMIFS('Actual Exercise Log'!E:E, 'Actual Exercise Log'!A:A, A112), 0)</f>
        <v/>
      </c>
      <c r="G112" s="17">
        <f>Setup!$B$18</f>
        <v/>
      </c>
      <c r="H112" s="17">
        <f>IF(D112&gt;0, G112 + F112, G112)</f>
        <v/>
      </c>
      <c r="I112" s="17">
        <f>IF(D112&gt;0, H112 - D112, 0)</f>
        <v/>
      </c>
      <c r="J112" s="17">
        <f>Setup!$B$20</f>
        <v/>
      </c>
      <c r="K112" s="17">
        <f>IF(D112&gt;0, D112 - J112, 0)</f>
        <v/>
      </c>
      <c r="L112" s="11" t="inlineStr">
        <is>
          <t>20-Min Full Body Zumba Fiesta &amp; Core Tone</t>
        </is>
      </c>
      <c r="M112" s="10" t="inlineStr">
        <is>
          <t>Pending</t>
        </is>
      </c>
      <c r="N112" s="11" t="inlineStr"/>
    </row>
    <row r="113" ht="24" customHeight="1">
      <c r="A113" s="10" t="inlineStr">
        <is>
          <t>2027-02-12</t>
        </is>
      </c>
      <c r="B113" s="10" t="n">
        <v>112</v>
      </c>
      <c r="C113" s="10" t="inlineStr">
        <is>
          <t>Friday</t>
        </is>
      </c>
      <c r="D113" s="17">
        <f>IFERROR(SUMIFS('Actual Food Log'!E:E, 'Actual Food Log'!A:A, A113), 0)</f>
        <v/>
      </c>
      <c r="E113" s="18">
        <f>IFERROR(SUMIFS('Actual Food Log'!F:F, 'Actual Food Log'!A:A, A113), 0)</f>
        <v/>
      </c>
      <c r="F113" s="17">
        <f>IFERROR(SUMIFS('Actual Exercise Log'!E:E, 'Actual Exercise Log'!A:A, A113), 0)</f>
        <v/>
      </c>
      <c r="G113" s="17">
        <f>Setup!$B$18</f>
        <v/>
      </c>
      <c r="H113" s="17">
        <f>IF(D113&gt;0, G113 + F113, G113)</f>
        <v/>
      </c>
      <c r="I113" s="17">
        <f>IF(D113&gt;0, H113 - D113, 0)</f>
        <v/>
      </c>
      <c r="J113" s="17">
        <f>Setup!$B$20</f>
        <v/>
      </c>
      <c r="K113" s="17">
        <f>IF(D113&gt;0, D113 - J113, 0)</f>
        <v/>
      </c>
      <c r="L113" s="11" t="inlineStr">
        <is>
          <t>22-Min High-Spirited Bollywood Beats Zumba Cardio</t>
        </is>
      </c>
      <c r="M113" s="10" t="inlineStr">
        <is>
          <t>Pending</t>
        </is>
      </c>
      <c r="N113" s="11" t="inlineStr"/>
    </row>
    <row r="114" ht="24" customHeight="1">
      <c r="A114" s="7" t="inlineStr">
        <is>
          <t>2027-02-13</t>
        </is>
      </c>
      <c r="B114" s="7" t="n">
        <v>113</v>
      </c>
      <c r="C114" s="7" t="inlineStr">
        <is>
          <t>Saturday</t>
        </is>
      </c>
      <c r="D114" s="15">
        <f>IFERROR(SUMIFS('Actual Food Log'!E:E, 'Actual Food Log'!A:A, A114), 0)</f>
        <v/>
      </c>
      <c r="E114" s="16">
        <f>IFERROR(SUMIFS('Actual Food Log'!F:F, 'Actual Food Log'!A:A, A114), 0)</f>
        <v/>
      </c>
      <c r="F114" s="15">
        <f>IFERROR(SUMIFS('Actual Exercise Log'!E:E, 'Actual Exercise Log'!A:A, A114), 0)</f>
        <v/>
      </c>
      <c r="G114" s="15">
        <f>Setup!$B$18</f>
        <v/>
      </c>
      <c r="H114" s="15">
        <f>IF(D114&gt;0, G114 + F114, G114)</f>
        <v/>
      </c>
      <c r="I114" s="15">
        <f>IF(D114&gt;0, H114 - D114, 0)</f>
        <v/>
      </c>
      <c r="J114" s="15">
        <f>Setup!$B$20</f>
        <v/>
      </c>
      <c r="K114" s="15">
        <f>IF(D114&gt;0, D114 - J114, 0)</f>
        <v/>
      </c>
      <c r="L114" s="8" t="inlineStr">
        <is>
          <t>REST DAY</t>
        </is>
      </c>
      <c r="M114" s="7" t="inlineStr">
        <is>
          <t>Rest Day Honored ❤️</t>
        </is>
      </c>
      <c r="N114" s="8" t="inlineStr"/>
    </row>
    <row r="115" ht="24" customHeight="1">
      <c r="A115" s="7" t="inlineStr">
        <is>
          <t>2027-02-14</t>
        </is>
      </c>
      <c r="B115" s="7" t="n">
        <v>114</v>
      </c>
      <c r="C115" s="7" t="inlineStr">
        <is>
          <t>Sunday</t>
        </is>
      </c>
      <c r="D115" s="15">
        <f>IFERROR(SUMIFS('Actual Food Log'!E:E, 'Actual Food Log'!A:A, A115), 0)</f>
        <v/>
      </c>
      <c r="E115" s="16">
        <f>IFERROR(SUMIFS('Actual Food Log'!F:F, 'Actual Food Log'!A:A, A115), 0)</f>
        <v/>
      </c>
      <c r="F115" s="15">
        <f>IFERROR(SUMIFS('Actual Exercise Log'!E:E, 'Actual Exercise Log'!A:A, A115), 0)</f>
        <v/>
      </c>
      <c r="G115" s="15">
        <f>Setup!$B$18</f>
        <v/>
      </c>
      <c r="H115" s="15">
        <f>IF(D115&gt;0, G115 + F115, G115)</f>
        <v/>
      </c>
      <c r="I115" s="15">
        <f>IF(D115&gt;0, H115 - D115, 0)</f>
        <v/>
      </c>
      <c r="J115" s="15">
        <f>Setup!$B$20</f>
        <v/>
      </c>
      <c r="K115" s="15">
        <f>IF(D115&gt;0, D115 - J115, 0)</f>
        <v/>
      </c>
      <c r="L115" s="8" t="inlineStr">
        <is>
          <t>REST DAY</t>
        </is>
      </c>
      <c r="M115" s="7" t="inlineStr">
        <is>
          <t>Rest Day Honored ❤️</t>
        </is>
      </c>
      <c r="N115" s="8" t="inlineStr"/>
    </row>
    <row r="116" ht="24" customHeight="1">
      <c r="A116" s="10" t="inlineStr">
        <is>
          <t>2027-02-15</t>
        </is>
      </c>
      <c r="B116" s="10" t="n">
        <v>115</v>
      </c>
      <c r="C116" s="10" t="inlineStr">
        <is>
          <t>Monday</t>
        </is>
      </c>
      <c r="D116" s="17">
        <f>IFERROR(SUMIFS('Actual Food Log'!E:E, 'Actual Food Log'!A:A, A116), 0)</f>
        <v/>
      </c>
      <c r="E116" s="18">
        <f>IFERROR(SUMIFS('Actual Food Log'!F:F, 'Actual Food Log'!A:A, A116), 0)</f>
        <v/>
      </c>
      <c r="F116" s="17">
        <f>IFERROR(SUMIFS('Actual Exercise Log'!E:E, 'Actual Exercise Log'!A:A, A116), 0)</f>
        <v/>
      </c>
      <c r="G116" s="17">
        <f>Setup!$B$18</f>
        <v/>
      </c>
      <c r="H116" s="17">
        <f>IF(D116&gt;0, G116 + F116, G116)</f>
        <v/>
      </c>
      <c r="I116" s="17">
        <f>IF(D116&gt;0, H116 - D116, 0)</f>
        <v/>
      </c>
      <c r="J116" s="17">
        <f>Setup!$B$20</f>
        <v/>
      </c>
      <c r="K116" s="17">
        <f>IF(D116&gt;0, D116 - J116, 0)</f>
        <v/>
      </c>
      <c r="L116" s="11" t="inlineStr">
        <is>
          <t>20-Min Full Body Zumba Fiesta &amp; Core Tone</t>
        </is>
      </c>
      <c r="M116" s="10" t="inlineStr">
        <is>
          <t>Pending</t>
        </is>
      </c>
      <c r="N116" s="11" t="inlineStr"/>
    </row>
    <row r="117" ht="24" customHeight="1">
      <c r="A117" s="10" t="inlineStr">
        <is>
          <t>2027-02-16</t>
        </is>
      </c>
      <c r="B117" s="10" t="n">
        <v>116</v>
      </c>
      <c r="C117" s="10" t="inlineStr">
        <is>
          <t>Tuesday</t>
        </is>
      </c>
      <c r="D117" s="17">
        <f>IFERROR(SUMIFS('Actual Food Log'!E:E, 'Actual Food Log'!A:A, A117), 0)</f>
        <v/>
      </c>
      <c r="E117" s="18">
        <f>IFERROR(SUMIFS('Actual Food Log'!F:F, 'Actual Food Log'!A:A, A117), 0)</f>
        <v/>
      </c>
      <c r="F117" s="17">
        <f>IFERROR(SUMIFS('Actual Exercise Log'!E:E, 'Actual Exercise Log'!A:A, A117), 0)</f>
        <v/>
      </c>
      <c r="G117" s="17">
        <f>Setup!$B$18</f>
        <v/>
      </c>
      <c r="H117" s="17">
        <f>IF(D117&gt;0, G117 + F117, G117)</f>
        <v/>
      </c>
      <c r="I117" s="17">
        <f>IF(D117&gt;0, H117 - D117, 0)</f>
        <v/>
      </c>
      <c r="J117" s="17">
        <f>Setup!$B$20</f>
        <v/>
      </c>
      <c r="K117" s="17">
        <f>IF(D117&gt;0, D117 - J117, 0)</f>
        <v/>
      </c>
      <c r="L117" s="11" t="inlineStr">
        <is>
          <t>22-Min High-Spirited Bollywood Beats Zumba Cardio</t>
        </is>
      </c>
      <c r="M117" s="10" t="inlineStr">
        <is>
          <t>Pending</t>
        </is>
      </c>
      <c r="N117" s="11" t="inlineStr"/>
    </row>
    <row r="118" ht="24" customHeight="1">
      <c r="A118" s="7" t="inlineStr">
        <is>
          <t>2027-02-17</t>
        </is>
      </c>
      <c r="B118" s="7" t="n">
        <v>117</v>
      </c>
      <c r="C118" s="7" t="inlineStr">
        <is>
          <t>Wednesday</t>
        </is>
      </c>
      <c r="D118" s="15">
        <f>IFERROR(SUMIFS('Actual Food Log'!E:E, 'Actual Food Log'!A:A, A118), 0)</f>
        <v/>
      </c>
      <c r="E118" s="16">
        <f>IFERROR(SUMIFS('Actual Food Log'!F:F, 'Actual Food Log'!A:A, A118), 0)</f>
        <v/>
      </c>
      <c r="F118" s="15">
        <f>IFERROR(SUMIFS('Actual Exercise Log'!E:E, 'Actual Exercise Log'!A:A, A118), 0)</f>
        <v/>
      </c>
      <c r="G118" s="15">
        <f>Setup!$B$18</f>
        <v/>
      </c>
      <c r="H118" s="15">
        <f>IF(D118&gt;0, G118 + F118, G118)</f>
        <v/>
      </c>
      <c r="I118" s="15">
        <f>IF(D118&gt;0, H118 - D118, 0)</f>
        <v/>
      </c>
      <c r="J118" s="15">
        <f>Setup!$B$20</f>
        <v/>
      </c>
      <c r="K118" s="15">
        <f>IF(D118&gt;0, D118 - J118, 0)</f>
        <v/>
      </c>
      <c r="L118" s="8" t="inlineStr">
        <is>
          <t>REST DAY</t>
        </is>
      </c>
      <c r="M118" s="7" t="inlineStr">
        <is>
          <t>Rest Day Honored ❤️</t>
        </is>
      </c>
      <c r="N118" s="8" t="inlineStr"/>
    </row>
    <row r="119" ht="24" customHeight="1">
      <c r="A119" s="10" t="inlineStr">
        <is>
          <t>2027-02-18</t>
        </is>
      </c>
      <c r="B119" s="10" t="n">
        <v>118</v>
      </c>
      <c r="C119" s="10" t="inlineStr">
        <is>
          <t>Thursday</t>
        </is>
      </c>
      <c r="D119" s="17">
        <f>IFERROR(SUMIFS('Actual Food Log'!E:E, 'Actual Food Log'!A:A, A119), 0)</f>
        <v/>
      </c>
      <c r="E119" s="18">
        <f>IFERROR(SUMIFS('Actual Food Log'!F:F, 'Actual Food Log'!A:A, A119), 0)</f>
        <v/>
      </c>
      <c r="F119" s="17">
        <f>IFERROR(SUMIFS('Actual Exercise Log'!E:E, 'Actual Exercise Log'!A:A, A119), 0)</f>
        <v/>
      </c>
      <c r="G119" s="17">
        <f>Setup!$B$18</f>
        <v/>
      </c>
      <c r="H119" s="17">
        <f>IF(D119&gt;0, G119 + F119, G119)</f>
        <v/>
      </c>
      <c r="I119" s="17">
        <f>IF(D119&gt;0, H119 - D119, 0)</f>
        <v/>
      </c>
      <c r="J119" s="17">
        <f>Setup!$B$20</f>
        <v/>
      </c>
      <c r="K119" s="17">
        <f>IF(D119&gt;0, D119 - J119, 0)</f>
        <v/>
      </c>
      <c r="L119" s="11" t="inlineStr">
        <is>
          <t>20-Min Full Body Zumba Fiesta &amp; Core Tone</t>
        </is>
      </c>
      <c r="M119" s="10" t="inlineStr">
        <is>
          <t>Pending</t>
        </is>
      </c>
      <c r="N119" s="11" t="inlineStr"/>
    </row>
    <row r="120" ht="24" customHeight="1">
      <c r="A120" s="10" t="inlineStr">
        <is>
          <t>2027-02-19</t>
        </is>
      </c>
      <c r="B120" s="10" t="n">
        <v>119</v>
      </c>
      <c r="C120" s="10" t="inlineStr">
        <is>
          <t>Friday</t>
        </is>
      </c>
      <c r="D120" s="17">
        <f>IFERROR(SUMIFS('Actual Food Log'!E:E, 'Actual Food Log'!A:A, A120), 0)</f>
        <v/>
      </c>
      <c r="E120" s="18">
        <f>IFERROR(SUMIFS('Actual Food Log'!F:F, 'Actual Food Log'!A:A, A120), 0)</f>
        <v/>
      </c>
      <c r="F120" s="17">
        <f>IFERROR(SUMIFS('Actual Exercise Log'!E:E, 'Actual Exercise Log'!A:A, A120), 0)</f>
        <v/>
      </c>
      <c r="G120" s="17">
        <f>Setup!$B$18</f>
        <v/>
      </c>
      <c r="H120" s="17">
        <f>IF(D120&gt;0, G120 + F120, G120)</f>
        <v/>
      </c>
      <c r="I120" s="17">
        <f>IF(D120&gt;0, H120 - D120, 0)</f>
        <v/>
      </c>
      <c r="J120" s="17">
        <f>Setup!$B$20</f>
        <v/>
      </c>
      <c r="K120" s="17">
        <f>IF(D120&gt;0, D120 - J120, 0)</f>
        <v/>
      </c>
      <c r="L120" s="11" t="inlineStr">
        <is>
          <t>22-Min High-Spirited Bollywood Beats Zumba Cardio</t>
        </is>
      </c>
      <c r="M120" s="10" t="inlineStr">
        <is>
          <t>Pending</t>
        </is>
      </c>
      <c r="N120" s="11" t="inlineStr"/>
    </row>
    <row r="121" ht="24" customHeight="1">
      <c r="A121" s="7" t="inlineStr">
        <is>
          <t>2027-02-20</t>
        </is>
      </c>
      <c r="B121" s="7" t="n">
        <v>120</v>
      </c>
      <c r="C121" s="7" t="inlineStr">
        <is>
          <t>Saturday</t>
        </is>
      </c>
      <c r="D121" s="15">
        <f>IFERROR(SUMIFS('Actual Food Log'!E:E, 'Actual Food Log'!A:A, A121), 0)</f>
        <v/>
      </c>
      <c r="E121" s="16">
        <f>IFERROR(SUMIFS('Actual Food Log'!F:F, 'Actual Food Log'!A:A, A121), 0)</f>
        <v/>
      </c>
      <c r="F121" s="15">
        <f>IFERROR(SUMIFS('Actual Exercise Log'!E:E, 'Actual Exercise Log'!A:A, A121), 0)</f>
        <v/>
      </c>
      <c r="G121" s="15">
        <f>Setup!$B$18</f>
        <v/>
      </c>
      <c r="H121" s="15">
        <f>IF(D121&gt;0, G121 + F121, G121)</f>
        <v/>
      </c>
      <c r="I121" s="15">
        <f>IF(D121&gt;0, H121 - D121, 0)</f>
        <v/>
      </c>
      <c r="J121" s="15">
        <f>Setup!$B$20</f>
        <v/>
      </c>
      <c r="K121" s="15">
        <f>IF(D121&gt;0, D121 - J121, 0)</f>
        <v/>
      </c>
      <c r="L121" s="8" t="inlineStr">
        <is>
          <t>REST DAY</t>
        </is>
      </c>
      <c r="M121" s="7" t="inlineStr">
        <is>
          <t>Rest Day Honored ❤️</t>
        </is>
      </c>
      <c r="N121" s="8" t="inlineStr"/>
    </row>
    <row r="122" ht="24" customHeight="1">
      <c r="A122" s="7" t="inlineStr">
        <is>
          <t>2027-02-21</t>
        </is>
      </c>
      <c r="B122" s="7" t="n">
        <v>121</v>
      </c>
      <c r="C122" s="7" t="inlineStr">
        <is>
          <t>Sunday</t>
        </is>
      </c>
      <c r="D122" s="15">
        <f>IFERROR(SUMIFS('Actual Food Log'!E:E, 'Actual Food Log'!A:A, A122), 0)</f>
        <v/>
      </c>
      <c r="E122" s="16">
        <f>IFERROR(SUMIFS('Actual Food Log'!F:F, 'Actual Food Log'!A:A, A122), 0)</f>
        <v/>
      </c>
      <c r="F122" s="15">
        <f>IFERROR(SUMIFS('Actual Exercise Log'!E:E, 'Actual Exercise Log'!A:A, A122), 0)</f>
        <v/>
      </c>
      <c r="G122" s="15">
        <f>Setup!$B$18</f>
        <v/>
      </c>
      <c r="H122" s="15">
        <f>IF(D122&gt;0, G122 + F122, G122)</f>
        <v/>
      </c>
      <c r="I122" s="15">
        <f>IF(D122&gt;0, H122 - D122, 0)</f>
        <v/>
      </c>
      <c r="J122" s="15">
        <f>Setup!$B$20</f>
        <v/>
      </c>
      <c r="K122" s="15">
        <f>IF(D122&gt;0, D122 - J122, 0)</f>
        <v/>
      </c>
      <c r="L122" s="8" t="inlineStr">
        <is>
          <t>REST DAY</t>
        </is>
      </c>
      <c r="M122" s="7" t="inlineStr">
        <is>
          <t>Rest Day Honored ❤️</t>
        </is>
      </c>
      <c r="N122" s="8" t="inlineStr"/>
    </row>
    <row r="123" ht="24" customHeight="1">
      <c r="A123" s="10" t="inlineStr">
        <is>
          <t>2027-02-22</t>
        </is>
      </c>
      <c r="B123" s="10" t="n">
        <v>122</v>
      </c>
      <c r="C123" s="10" t="inlineStr">
        <is>
          <t>Monday</t>
        </is>
      </c>
      <c r="D123" s="17">
        <f>IFERROR(SUMIFS('Actual Food Log'!E:E, 'Actual Food Log'!A:A, A123), 0)</f>
        <v/>
      </c>
      <c r="E123" s="18">
        <f>IFERROR(SUMIFS('Actual Food Log'!F:F, 'Actual Food Log'!A:A, A123), 0)</f>
        <v/>
      </c>
      <c r="F123" s="17">
        <f>IFERROR(SUMIFS('Actual Exercise Log'!E:E, 'Actual Exercise Log'!A:A, A123), 0)</f>
        <v/>
      </c>
      <c r="G123" s="17">
        <f>Setup!$B$18</f>
        <v/>
      </c>
      <c r="H123" s="17">
        <f>IF(D123&gt;0, G123 + F123, G123)</f>
        <v/>
      </c>
      <c r="I123" s="17">
        <f>IF(D123&gt;0, H123 - D123, 0)</f>
        <v/>
      </c>
      <c r="J123" s="17">
        <f>Setup!$B$20</f>
        <v/>
      </c>
      <c r="K123" s="17">
        <f>IF(D123&gt;0, D123 - J123, 0)</f>
        <v/>
      </c>
      <c r="L123" s="11" t="inlineStr">
        <is>
          <t>20-Min Full Body Zumba Fiesta &amp; Core Tone</t>
        </is>
      </c>
      <c r="M123" s="10" t="inlineStr">
        <is>
          <t>Pending</t>
        </is>
      </c>
      <c r="N123" s="11" t="inlineStr"/>
    </row>
    <row r="124" ht="24" customHeight="1">
      <c r="A124" s="10" t="inlineStr">
        <is>
          <t>2027-02-23</t>
        </is>
      </c>
      <c r="B124" s="10" t="n">
        <v>123</v>
      </c>
      <c r="C124" s="10" t="inlineStr">
        <is>
          <t>Tuesday</t>
        </is>
      </c>
      <c r="D124" s="17">
        <f>IFERROR(SUMIFS('Actual Food Log'!E:E, 'Actual Food Log'!A:A, A124), 0)</f>
        <v/>
      </c>
      <c r="E124" s="18">
        <f>IFERROR(SUMIFS('Actual Food Log'!F:F, 'Actual Food Log'!A:A, A124), 0)</f>
        <v/>
      </c>
      <c r="F124" s="17">
        <f>IFERROR(SUMIFS('Actual Exercise Log'!E:E, 'Actual Exercise Log'!A:A, A124), 0)</f>
        <v/>
      </c>
      <c r="G124" s="17">
        <f>Setup!$B$18</f>
        <v/>
      </c>
      <c r="H124" s="17">
        <f>IF(D124&gt;0, G124 + F124, G124)</f>
        <v/>
      </c>
      <c r="I124" s="17">
        <f>IF(D124&gt;0, H124 - D124, 0)</f>
        <v/>
      </c>
      <c r="J124" s="17">
        <f>Setup!$B$20</f>
        <v/>
      </c>
      <c r="K124" s="17">
        <f>IF(D124&gt;0, D124 - J124, 0)</f>
        <v/>
      </c>
      <c r="L124" s="11" t="inlineStr">
        <is>
          <t>22-Min High-Spirited Bollywood Beats Zumba Cardio</t>
        </is>
      </c>
      <c r="M124" s="10" t="inlineStr">
        <is>
          <t>Pending</t>
        </is>
      </c>
      <c r="N124" s="11" t="inlineStr"/>
    </row>
    <row r="125" ht="24" customHeight="1">
      <c r="A125" s="7" t="inlineStr">
        <is>
          <t>2027-02-24</t>
        </is>
      </c>
      <c r="B125" s="7" t="n">
        <v>124</v>
      </c>
      <c r="C125" s="7" t="inlineStr">
        <is>
          <t>Wednesday</t>
        </is>
      </c>
      <c r="D125" s="15">
        <f>IFERROR(SUMIFS('Actual Food Log'!E:E, 'Actual Food Log'!A:A, A125), 0)</f>
        <v/>
      </c>
      <c r="E125" s="16">
        <f>IFERROR(SUMIFS('Actual Food Log'!F:F, 'Actual Food Log'!A:A, A125), 0)</f>
        <v/>
      </c>
      <c r="F125" s="15">
        <f>IFERROR(SUMIFS('Actual Exercise Log'!E:E, 'Actual Exercise Log'!A:A, A125), 0)</f>
        <v/>
      </c>
      <c r="G125" s="15">
        <f>Setup!$B$18</f>
        <v/>
      </c>
      <c r="H125" s="15">
        <f>IF(D125&gt;0, G125 + F125, G125)</f>
        <v/>
      </c>
      <c r="I125" s="15">
        <f>IF(D125&gt;0, H125 - D125, 0)</f>
        <v/>
      </c>
      <c r="J125" s="15">
        <f>Setup!$B$20</f>
        <v/>
      </c>
      <c r="K125" s="15">
        <f>IF(D125&gt;0, D125 - J125, 0)</f>
        <v/>
      </c>
      <c r="L125" s="8" t="inlineStr">
        <is>
          <t>REST DAY</t>
        </is>
      </c>
      <c r="M125" s="7" t="inlineStr">
        <is>
          <t>Rest Day Honored ❤️</t>
        </is>
      </c>
      <c r="N125" s="8" t="inlineStr"/>
    </row>
    <row r="126" ht="24" customHeight="1">
      <c r="A126" s="10" t="inlineStr">
        <is>
          <t>2027-02-25</t>
        </is>
      </c>
      <c r="B126" s="10" t="n">
        <v>125</v>
      </c>
      <c r="C126" s="10" t="inlineStr">
        <is>
          <t>Thursday</t>
        </is>
      </c>
      <c r="D126" s="17">
        <f>IFERROR(SUMIFS('Actual Food Log'!E:E, 'Actual Food Log'!A:A, A126), 0)</f>
        <v/>
      </c>
      <c r="E126" s="18">
        <f>IFERROR(SUMIFS('Actual Food Log'!F:F, 'Actual Food Log'!A:A, A126), 0)</f>
        <v/>
      </c>
      <c r="F126" s="17">
        <f>IFERROR(SUMIFS('Actual Exercise Log'!E:E, 'Actual Exercise Log'!A:A, A126), 0)</f>
        <v/>
      </c>
      <c r="G126" s="17">
        <f>Setup!$B$18</f>
        <v/>
      </c>
      <c r="H126" s="17">
        <f>IF(D126&gt;0, G126 + F126, G126)</f>
        <v/>
      </c>
      <c r="I126" s="17">
        <f>IF(D126&gt;0, H126 - D126, 0)</f>
        <v/>
      </c>
      <c r="J126" s="17">
        <f>Setup!$B$20</f>
        <v/>
      </c>
      <c r="K126" s="17">
        <f>IF(D126&gt;0, D126 - J126, 0)</f>
        <v/>
      </c>
      <c r="L126" s="11" t="inlineStr">
        <is>
          <t>20-Min Full Body Zumba Fiesta &amp; Core Tone</t>
        </is>
      </c>
      <c r="M126" s="10" t="inlineStr">
        <is>
          <t>Pending</t>
        </is>
      </c>
      <c r="N126" s="11" t="inlineStr"/>
    </row>
    <row r="127" ht="24" customHeight="1">
      <c r="A127" s="10" t="inlineStr">
        <is>
          <t>2027-02-26</t>
        </is>
      </c>
      <c r="B127" s="10" t="n">
        <v>126</v>
      </c>
      <c r="C127" s="10" t="inlineStr">
        <is>
          <t>Friday</t>
        </is>
      </c>
      <c r="D127" s="17">
        <f>IFERROR(SUMIFS('Actual Food Log'!E:E, 'Actual Food Log'!A:A, A127), 0)</f>
        <v/>
      </c>
      <c r="E127" s="18">
        <f>IFERROR(SUMIFS('Actual Food Log'!F:F, 'Actual Food Log'!A:A, A127), 0)</f>
        <v/>
      </c>
      <c r="F127" s="17">
        <f>IFERROR(SUMIFS('Actual Exercise Log'!E:E, 'Actual Exercise Log'!A:A, A127), 0)</f>
        <v/>
      </c>
      <c r="G127" s="17">
        <f>Setup!$B$18</f>
        <v/>
      </c>
      <c r="H127" s="17">
        <f>IF(D127&gt;0, G127 + F127, G127)</f>
        <v/>
      </c>
      <c r="I127" s="17">
        <f>IF(D127&gt;0, H127 - D127, 0)</f>
        <v/>
      </c>
      <c r="J127" s="17">
        <f>Setup!$B$20</f>
        <v/>
      </c>
      <c r="K127" s="17">
        <f>IF(D127&gt;0, D127 - J127, 0)</f>
        <v/>
      </c>
      <c r="L127" s="11" t="inlineStr">
        <is>
          <t>22-Min High-Spirited Bollywood Beats Zumba Cardio</t>
        </is>
      </c>
      <c r="M127" s="10" t="inlineStr">
        <is>
          <t>Pending</t>
        </is>
      </c>
      <c r="N127" s="11" t="inlineStr"/>
    </row>
    <row r="128" ht="24" customHeight="1">
      <c r="A128" s="7" t="inlineStr">
        <is>
          <t>2027-02-27</t>
        </is>
      </c>
      <c r="B128" s="7" t="n">
        <v>127</v>
      </c>
      <c r="C128" s="7" t="inlineStr">
        <is>
          <t>Saturday</t>
        </is>
      </c>
      <c r="D128" s="15">
        <f>IFERROR(SUMIFS('Actual Food Log'!E:E, 'Actual Food Log'!A:A, A128), 0)</f>
        <v/>
      </c>
      <c r="E128" s="16">
        <f>IFERROR(SUMIFS('Actual Food Log'!F:F, 'Actual Food Log'!A:A, A128), 0)</f>
        <v/>
      </c>
      <c r="F128" s="15">
        <f>IFERROR(SUMIFS('Actual Exercise Log'!E:E, 'Actual Exercise Log'!A:A, A128), 0)</f>
        <v/>
      </c>
      <c r="G128" s="15">
        <f>Setup!$B$18</f>
        <v/>
      </c>
      <c r="H128" s="15">
        <f>IF(D128&gt;0, G128 + F128, G128)</f>
        <v/>
      </c>
      <c r="I128" s="15">
        <f>IF(D128&gt;0, H128 - D128, 0)</f>
        <v/>
      </c>
      <c r="J128" s="15">
        <f>Setup!$B$20</f>
        <v/>
      </c>
      <c r="K128" s="15">
        <f>IF(D128&gt;0, D128 - J128, 0)</f>
        <v/>
      </c>
      <c r="L128" s="8" t="inlineStr">
        <is>
          <t>REST DAY</t>
        </is>
      </c>
      <c r="M128" s="7" t="inlineStr">
        <is>
          <t>Rest Day Honored ❤️</t>
        </is>
      </c>
      <c r="N128" s="8" t="inlineStr"/>
    </row>
    <row r="129" ht="24" customHeight="1">
      <c r="A129" s="7" t="inlineStr">
        <is>
          <t>2027-02-28</t>
        </is>
      </c>
      <c r="B129" s="7" t="n">
        <v>128</v>
      </c>
      <c r="C129" s="7" t="inlineStr">
        <is>
          <t>Sunday</t>
        </is>
      </c>
      <c r="D129" s="15">
        <f>IFERROR(SUMIFS('Actual Food Log'!E:E, 'Actual Food Log'!A:A, A129), 0)</f>
        <v/>
      </c>
      <c r="E129" s="16">
        <f>IFERROR(SUMIFS('Actual Food Log'!F:F, 'Actual Food Log'!A:A, A129), 0)</f>
        <v/>
      </c>
      <c r="F129" s="15">
        <f>IFERROR(SUMIFS('Actual Exercise Log'!E:E, 'Actual Exercise Log'!A:A, A129), 0)</f>
        <v/>
      </c>
      <c r="G129" s="15">
        <f>Setup!$B$18</f>
        <v/>
      </c>
      <c r="H129" s="15">
        <f>IF(D129&gt;0, G129 + F129, G129)</f>
        <v/>
      </c>
      <c r="I129" s="15">
        <f>IF(D129&gt;0, H129 - D129, 0)</f>
        <v/>
      </c>
      <c r="J129" s="15">
        <f>Setup!$B$20</f>
        <v/>
      </c>
      <c r="K129" s="15">
        <f>IF(D129&gt;0, D129 - J129, 0)</f>
        <v/>
      </c>
      <c r="L129" s="8" t="inlineStr">
        <is>
          <t>REST DAY</t>
        </is>
      </c>
      <c r="M129" s="7" t="inlineStr">
        <is>
          <t>Rest Day Honored ❤️</t>
        </is>
      </c>
      <c r="N129" s="8" t="inlineStr"/>
    </row>
    <row r="130" ht="24" customHeight="1">
      <c r="A130" s="10" t="inlineStr">
        <is>
          <t>2027-03-01</t>
        </is>
      </c>
      <c r="B130" s="10" t="n">
        <v>129</v>
      </c>
      <c r="C130" s="10" t="inlineStr">
        <is>
          <t>Monday</t>
        </is>
      </c>
      <c r="D130" s="17">
        <f>IFERROR(SUMIFS('Actual Food Log'!E:E, 'Actual Food Log'!A:A, A130), 0)</f>
        <v/>
      </c>
      <c r="E130" s="18">
        <f>IFERROR(SUMIFS('Actual Food Log'!F:F, 'Actual Food Log'!A:A, A130), 0)</f>
        <v/>
      </c>
      <c r="F130" s="17">
        <f>IFERROR(SUMIFS('Actual Exercise Log'!E:E, 'Actual Exercise Log'!A:A, A130), 0)</f>
        <v/>
      </c>
      <c r="G130" s="17">
        <f>Setup!$B$18</f>
        <v/>
      </c>
      <c r="H130" s="17">
        <f>IF(D130&gt;0, G130 + F130, G130)</f>
        <v/>
      </c>
      <c r="I130" s="17">
        <f>IF(D130&gt;0, H130 - D130, 0)</f>
        <v/>
      </c>
      <c r="J130" s="17">
        <f>Setup!$B$20</f>
        <v/>
      </c>
      <c r="K130" s="17">
        <f>IF(D130&gt;0, D130 - J130, 0)</f>
        <v/>
      </c>
      <c r="L130" s="11" t="inlineStr">
        <is>
          <t>20-Min Full Body Zumba Fiesta &amp; Core Tone</t>
        </is>
      </c>
      <c r="M130" s="10" t="inlineStr">
        <is>
          <t>Pending</t>
        </is>
      </c>
      <c r="N130" s="11" t="inlineStr"/>
    </row>
    <row r="131" ht="24" customHeight="1">
      <c r="A131" s="10" t="inlineStr">
        <is>
          <t>2027-03-02</t>
        </is>
      </c>
      <c r="B131" s="10" t="n">
        <v>130</v>
      </c>
      <c r="C131" s="10" t="inlineStr">
        <is>
          <t>Tuesday</t>
        </is>
      </c>
      <c r="D131" s="17">
        <f>IFERROR(SUMIFS('Actual Food Log'!E:E, 'Actual Food Log'!A:A, A131), 0)</f>
        <v/>
      </c>
      <c r="E131" s="18">
        <f>IFERROR(SUMIFS('Actual Food Log'!F:F, 'Actual Food Log'!A:A, A131), 0)</f>
        <v/>
      </c>
      <c r="F131" s="17">
        <f>IFERROR(SUMIFS('Actual Exercise Log'!E:E, 'Actual Exercise Log'!A:A, A131), 0)</f>
        <v/>
      </c>
      <c r="G131" s="17">
        <f>Setup!$B$18</f>
        <v/>
      </c>
      <c r="H131" s="17">
        <f>IF(D131&gt;0, G131 + F131, G131)</f>
        <v/>
      </c>
      <c r="I131" s="17">
        <f>IF(D131&gt;0, H131 - D131, 0)</f>
        <v/>
      </c>
      <c r="J131" s="17">
        <f>Setup!$B$20</f>
        <v/>
      </c>
      <c r="K131" s="17">
        <f>IF(D131&gt;0, D131 - J131, 0)</f>
        <v/>
      </c>
      <c r="L131" s="11" t="inlineStr">
        <is>
          <t>22-Min High-Spirited Bollywood Beats Zumba Cardio</t>
        </is>
      </c>
      <c r="M131" s="10" t="inlineStr">
        <is>
          <t>Pending</t>
        </is>
      </c>
      <c r="N131" s="11" t="inlineStr"/>
    </row>
    <row r="132" ht="24" customHeight="1">
      <c r="A132" s="7" t="inlineStr">
        <is>
          <t>2027-03-03</t>
        </is>
      </c>
      <c r="B132" s="7" t="n">
        <v>131</v>
      </c>
      <c r="C132" s="7" t="inlineStr">
        <is>
          <t>Wednesday</t>
        </is>
      </c>
      <c r="D132" s="15">
        <f>IFERROR(SUMIFS('Actual Food Log'!E:E, 'Actual Food Log'!A:A, A132), 0)</f>
        <v/>
      </c>
      <c r="E132" s="16">
        <f>IFERROR(SUMIFS('Actual Food Log'!F:F, 'Actual Food Log'!A:A, A132), 0)</f>
        <v/>
      </c>
      <c r="F132" s="15">
        <f>IFERROR(SUMIFS('Actual Exercise Log'!E:E, 'Actual Exercise Log'!A:A, A132), 0)</f>
        <v/>
      </c>
      <c r="G132" s="15">
        <f>Setup!$B$18</f>
        <v/>
      </c>
      <c r="H132" s="15">
        <f>IF(D132&gt;0, G132 + F132, G132)</f>
        <v/>
      </c>
      <c r="I132" s="15">
        <f>IF(D132&gt;0, H132 - D132, 0)</f>
        <v/>
      </c>
      <c r="J132" s="15">
        <f>Setup!$B$20</f>
        <v/>
      </c>
      <c r="K132" s="15">
        <f>IF(D132&gt;0, D132 - J132, 0)</f>
        <v/>
      </c>
      <c r="L132" s="8" t="inlineStr">
        <is>
          <t>REST DAY</t>
        </is>
      </c>
      <c r="M132" s="7" t="inlineStr">
        <is>
          <t>Rest Day Honored ❤️</t>
        </is>
      </c>
      <c r="N132" s="8" t="inlineStr"/>
    </row>
    <row r="133" ht="24" customHeight="1">
      <c r="A133" s="10" t="inlineStr">
        <is>
          <t>2027-03-04</t>
        </is>
      </c>
      <c r="B133" s="10" t="n">
        <v>132</v>
      </c>
      <c r="C133" s="10" t="inlineStr">
        <is>
          <t>Thursday</t>
        </is>
      </c>
      <c r="D133" s="17">
        <f>IFERROR(SUMIFS('Actual Food Log'!E:E, 'Actual Food Log'!A:A, A133), 0)</f>
        <v/>
      </c>
      <c r="E133" s="18">
        <f>IFERROR(SUMIFS('Actual Food Log'!F:F, 'Actual Food Log'!A:A, A133), 0)</f>
        <v/>
      </c>
      <c r="F133" s="17">
        <f>IFERROR(SUMIFS('Actual Exercise Log'!E:E, 'Actual Exercise Log'!A:A, A133), 0)</f>
        <v/>
      </c>
      <c r="G133" s="17">
        <f>Setup!$B$18</f>
        <v/>
      </c>
      <c r="H133" s="17">
        <f>IF(D133&gt;0, G133 + F133, G133)</f>
        <v/>
      </c>
      <c r="I133" s="17">
        <f>IF(D133&gt;0, H133 - D133, 0)</f>
        <v/>
      </c>
      <c r="J133" s="17">
        <f>Setup!$B$20</f>
        <v/>
      </c>
      <c r="K133" s="17">
        <f>IF(D133&gt;0, D133 - J133, 0)</f>
        <v/>
      </c>
      <c r="L133" s="11" t="inlineStr">
        <is>
          <t>20-Min Full Body Zumba Fiesta &amp; Core Tone</t>
        </is>
      </c>
      <c r="M133" s="10" t="inlineStr">
        <is>
          <t>Pending</t>
        </is>
      </c>
      <c r="N133" s="11" t="inlineStr"/>
    </row>
    <row r="134" ht="24" customHeight="1">
      <c r="A134" s="10" t="inlineStr">
        <is>
          <t>2027-03-05</t>
        </is>
      </c>
      <c r="B134" s="10" t="n">
        <v>133</v>
      </c>
      <c r="C134" s="10" t="inlineStr">
        <is>
          <t>Friday</t>
        </is>
      </c>
      <c r="D134" s="17">
        <f>IFERROR(SUMIFS('Actual Food Log'!E:E, 'Actual Food Log'!A:A, A134), 0)</f>
        <v/>
      </c>
      <c r="E134" s="18">
        <f>IFERROR(SUMIFS('Actual Food Log'!F:F, 'Actual Food Log'!A:A, A134), 0)</f>
        <v/>
      </c>
      <c r="F134" s="17">
        <f>IFERROR(SUMIFS('Actual Exercise Log'!E:E, 'Actual Exercise Log'!A:A, A134), 0)</f>
        <v/>
      </c>
      <c r="G134" s="17">
        <f>Setup!$B$18</f>
        <v/>
      </c>
      <c r="H134" s="17">
        <f>IF(D134&gt;0, G134 + F134, G134)</f>
        <v/>
      </c>
      <c r="I134" s="17">
        <f>IF(D134&gt;0, H134 - D134, 0)</f>
        <v/>
      </c>
      <c r="J134" s="17">
        <f>Setup!$B$20</f>
        <v/>
      </c>
      <c r="K134" s="17">
        <f>IF(D134&gt;0, D134 - J134, 0)</f>
        <v/>
      </c>
      <c r="L134" s="11" t="inlineStr">
        <is>
          <t>22-Min High-Spirited Bollywood Beats Zumba Cardio</t>
        </is>
      </c>
      <c r="M134" s="10" t="inlineStr">
        <is>
          <t>Pending</t>
        </is>
      </c>
      <c r="N134" s="11" t="inlineStr"/>
    </row>
    <row r="135" ht="24" customHeight="1">
      <c r="A135" s="7" t="inlineStr">
        <is>
          <t>2027-03-06</t>
        </is>
      </c>
      <c r="B135" s="7" t="n">
        <v>134</v>
      </c>
      <c r="C135" s="7" t="inlineStr">
        <is>
          <t>Saturday</t>
        </is>
      </c>
      <c r="D135" s="15">
        <f>IFERROR(SUMIFS('Actual Food Log'!E:E, 'Actual Food Log'!A:A, A135), 0)</f>
        <v/>
      </c>
      <c r="E135" s="16">
        <f>IFERROR(SUMIFS('Actual Food Log'!F:F, 'Actual Food Log'!A:A, A135), 0)</f>
        <v/>
      </c>
      <c r="F135" s="15">
        <f>IFERROR(SUMIFS('Actual Exercise Log'!E:E, 'Actual Exercise Log'!A:A, A135), 0)</f>
        <v/>
      </c>
      <c r="G135" s="15">
        <f>Setup!$B$18</f>
        <v/>
      </c>
      <c r="H135" s="15">
        <f>IF(D135&gt;0, G135 + F135, G135)</f>
        <v/>
      </c>
      <c r="I135" s="15">
        <f>IF(D135&gt;0, H135 - D135, 0)</f>
        <v/>
      </c>
      <c r="J135" s="15">
        <f>Setup!$B$20</f>
        <v/>
      </c>
      <c r="K135" s="15">
        <f>IF(D135&gt;0, D135 - J135, 0)</f>
        <v/>
      </c>
      <c r="L135" s="8" t="inlineStr">
        <is>
          <t>REST DAY</t>
        </is>
      </c>
      <c r="M135" s="7" t="inlineStr">
        <is>
          <t>Rest Day Honored ❤️</t>
        </is>
      </c>
      <c r="N135" s="8" t="inlineStr"/>
    </row>
    <row r="136" ht="24" customHeight="1">
      <c r="A136" s="7" t="inlineStr">
        <is>
          <t>2027-03-07</t>
        </is>
      </c>
      <c r="B136" s="7" t="n">
        <v>135</v>
      </c>
      <c r="C136" s="7" t="inlineStr">
        <is>
          <t>Sunday</t>
        </is>
      </c>
      <c r="D136" s="15">
        <f>IFERROR(SUMIFS('Actual Food Log'!E:E, 'Actual Food Log'!A:A, A136), 0)</f>
        <v/>
      </c>
      <c r="E136" s="16">
        <f>IFERROR(SUMIFS('Actual Food Log'!F:F, 'Actual Food Log'!A:A, A136), 0)</f>
        <v/>
      </c>
      <c r="F136" s="15">
        <f>IFERROR(SUMIFS('Actual Exercise Log'!E:E, 'Actual Exercise Log'!A:A, A136), 0)</f>
        <v/>
      </c>
      <c r="G136" s="15">
        <f>Setup!$B$18</f>
        <v/>
      </c>
      <c r="H136" s="15">
        <f>IF(D136&gt;0, G136 + F136, G136)</f>
        <v/>
      </c>
      <c r="I136" s="15">
        <f>IF(D136&gt;0, H136 - D136, 0)</f>
        <v/>
      </c>
      <c r="J136" s="15">
        <f>Setup!$B$20</f>
        <v/>
      </c>
      <c r="K136" s="15">
        <f>IF(D136&gt;0, D136 - J136, 0)</f>
        <v/>
      </c>
      <c r="L136" s="8" t="inlineStr">
        <is>
          <t>REST DAY</t>
        </is>
      </c>
      <c r="M136" s="7" t="inlineStr">
        <is>
          <t>Rest Day Honored ❤️</t>
        </is>
      </c>
      <c r="N136" s="8" t="inlineStr"/>
    </row>
    <row r="137" ht="24" customHeight="1">
      <c r="A137" s="10" t="inlineStr">
        <is>
          <t>2027-03-08</t>
        </is>
      </c>
      <c r="B137" s="10" t="n">
        <v>136</v>
      </c>
      <c r="C137" s="10" t="inlineStr">
        <is>
          <t>Monday</t>
        </is>
      </c>
      <c r="D137" s="17">
        <f>IFERROR(SUMIFS('Actual Food Log'!E:E, 'Actual Food Log'!A:A, A137), 0)</f>
        <v/>
      </c>
      <c r="E137" s="18">
        <f>IFERROR(SUMIFS('Actual Food Log'!F:F, 'Actual Food Log'!A:A, A137), 0)</f>
        <v/>
      </c>
      <c r="F137" s="17">
        <f>IFERROR(SUMIFS('Actual Exercise Log'!E:E, 'Actual Exercise Log'!A:A, A137), 0)</f>
        <v/>
      </c>
      <c r="G137" s="17">
        <f>Setup!$B$18</f>
        <v/>
      </c>
      <c r="H137" s="17">
        <f>IF(D137&gt;0, G137 + F137, G137)</f>
        <v/>
      </c>
      <c r="I137" s="17">
        <f>IF(D137&gt;0, H137 - D137, 0)</f>
        <v/>
      </c>
      <c r="J137" s="17">
        <f>Setup!$B$20</f>
        <v/>
      </c>
      <c r="K137" s="17">
        <f>IF(D137&gt;0, D137 - J137, 0)</f>
        <v/>
      </c>
      <c r="L137" s="11" t="inlineStr">
        <is>
          <t>20-Min Full Body Zumba Fiesta &amp; Core Tone</t>
        </is>
      </c>
      <c r="M137" s="10" t="inlineStr">
        <is>
          <t>Pending</t>
        </is>
      </c>
      <c r="N137" s="11" t="inlineStr"/>
    </row>
    <row r="138" ht="24" customHeight="1">
      <c r="A138" s="10" t="inlineStr">
        <is>
          <t>2027-03-09</t>
        </is>
      </c>
      <c r="B138" s="10" t="n">
        <v>137</v>
      </c>
      <c r="C138" s="10" t="inlineStr">
        <is>
          <t>Tuesday</t>
        </is>
      </c>
      <c r="D138" s="17">
        <f>IFERROR(SUMIFS('Actual Food Log'!E:E, 'Actual Food Log'!A:A, A138), 0)</f>
        <v/>
      </c>
      <c r="E138" s="18">
        <f>IFERROR(SUMIFS('Actual Food Log'!F:F, 'Actual Food Log'!A:A, A138), 0)</f>
        <v/>
      </c>
      <c r="F138" s="17">
        <f>IFERROR(SUMIFS('Actual Exercise Log'!E:E, 'Actual Exercise Log'!A:A, A138), 0)</f>
        <v/>
      </c>
      <c r="G138" s="17">
        <f>Setup!$B$18</f>
        <v/>
      </c>
      <c r="H138" s="17">
        <f>IF(D138&gt;0, G138 + F138, G138)</f>
        <v/>
      </c>
      <c r="I138" s="17">
        <f>IF(D138&gt;0, H138 - D138, 0)</f>
        <v/>
      </c>
      <c r="J138" s="17">
        <f>Setup!$B$20</f>
        <v/>
      </c>
      <c r="K138" s="17">
        <f>IF(D138&gt;0, D138 - J138, 0)</f>
        <v/>
      </c>
      <c r="L138" s="11" t="inlineStr">
        <is>
          <t>22-Min High-Spirited Bollywood Beats Zumba Cardio</t>
        </is>
      </c>
      <c r="M138" s="10" t="inlineStr">
        <is>
          <t>Pending</t>
        </is>
      </c>
      <c r="N138" s="11" t="inlineStr"/>
    </row>
    <row r="139" ht="24" customHeight="1">
      <c r="A139" s="7" t="inlineStr">
        <is>
          <t>2027-03-10</t>
        </is>
      </c>
      <c r="B139" s="7" t="n">
        <v>138</v>
      </c>
      <c r="C139" s="7" t="inlineStr">
        <is>
          <t>Wednesday</t>
        </is>
      </c>
      <c r="D139" s="15">
        <f>IFERROR(SUMIFS('Actual Food Log'!E:E, 'Actual Food Log'!A:A, A139), 0)</f>
        <v/>
      </c>
      <c r="E139" s="16">
        <f>IFERROR(SUMIFS('Actual Food Log'!F:F, 'Actual Food Log'!A:A, A139), 0)</f>
        <v/>
      </c>
      <c r="F139" s="15">
        <f>IFERROR(SUMIFS('Actual Exercise Log'!E:E, 'Actual Exercise Log'!A:A, A139), 0)</f>
        <v/>
      </c>
      <c r="G139" s="15">
        <f>Setup!$B$18</f>
        <v/>
      </c>
      <c r="H139" s="15">
        <f>IF(D139&gt;0, G139 + F139, G139)</f>
        <v/>
      </c>
      <c r="I139" s="15">
        <f>IF(D139&gt;0, H139 - D139, 0)</f>
        <v/>
      </c>
      <c r="J139" s="15">
        <f>Setup!$B$20</f>
        <v/>
      </c>
      <c r="K139" s="15">
        <f>IF(D139&gt;0, D139 - J139, 0)</f>
        <v/>
      </c>
      <c r="L139" s="8" t="inlineStr">
        <is>
          <t>REST DAY</t>
        </is>
      </c>
      <c r="M139" s="7" t="inlineStr">
        <is>
          <t>Rest Day Honored ❤️</t>
        </is>
      </c>
      <c r="N139" s="8" t="inlineStr"/>
    </row>
    <row r="140" ht="24" customHeight="1">
      <c r="A140" s="10" t="inlineStr">
        <is>
          <t>2027-03-11</t>
        </is>
      </c>
      <c r="B140" s="10" t="n">
        <v>139</v>
      </c>
      <c r="C140" s="10" t="inlineStr">
        <is>
          <t>Thursday</t>
        </is>
      </c>
      <c r="D140" s="17">
        <f>IFERROR(SUMIFS('Actual Food Log'!E:E, 'Actual Food Log'!A:A, A140), 0)</f>
        <v/>
      </c>
      <c r="E140" s="18">
        <f>IFERROR(SUMIFS('Actual Food Log'!F:F, 'Actual Food Log'!A:A, A140), 0)</f>
        <v/>
      </c>
      <c r="F140" s="17">
        <f>IFERROR(SUMIFS('Actual Exercise Log'!E:E, 'Actual Exercise Log'!A:A, A140), 0)</f>
        <v/>
      </c>
      <c r="G140" s="17">
        <f>Setup!$B$18</f>
        <v/>
      </c>
      <c r="H140" s="17">
        <f>IF(D140&gt;0, G140 + F140, G140)</f>
        <v/>
      </c>
      <c r="I140" s="17">
        <f>IF(D140&gt;0, H140 - D140, 0)</f>
        <v/>
      </c>
      <c r="J140" s="17">
        <f>Setup!$B$20</f>
        <v/>
      </c>
      <c r="K140" s="17">
        <f>IF(D140&gt;0, D140 - J140, 0)</f>
        <v/>
      </c>
      <c r="L140" s="11" t="inlineStr">
        <is>
          <t>20-Min Full Body Zumba Fiesta &amp; Core Tone</t>
        </is>
      </c>
      <c r="M140" s="10" t="inlineStr">
        <is>
          <t>Pending</t>
        </is>
      </c>
      <c r="N140" s="11" t="inlineStr"/>
    </row>
    <row r="141" ht="24" customHeight="1">
      <c r="A141" s="10" t="inlineStr">
        <is>
          <t>2027-03-12</t>
        </is>
      </c>
      <c r="B141" s="10" t="n">
        <v>140</v>
      </c>
      <c r="C141" s="10" t="inlineStr">
        <is>
          <t>Friday</t>
        </is>
      </c>
      <c r="D141" s="17">
        <f>IFERROR(SUMIFS('Actual Food Log'!E:E, 'Actual Food Log'!A:A, A141), 0)</f>
        <v/>
      </c>
      <c r="E141" s="18">
        <f>IFERROR(SUMIFS('Actual Food Log'!F:F, 'Actual Food Log'!A:A, A141), 0)</f>
        <v/>
      </c>
      <c r="F141" s="17">
        <f>IFERROR(SUMIFS('Actual Exercise Log'!E:E, 'Actual Exercise Log'!A:A, A141), 0)</f>
        <v/>
      </c>
      <c r="G141" s="17">
        <f>Setup!$B$18</f>
        <v/>
      </c>
      <c r="H141" s="17">
        <f>IF(D141&gt;0, G141 + F141, G141)</f>
        <v/>
      </c>
      <c r="I141" s="17">
        <f>IF(D141&gt;0, H141 - D141, 0)</f>
        <v/>
      </c>
      <c r="J141" s="17">
        <f>Setup!$B$20</f>
        <v/>
      </c>
      <c r="K141" s="17">
        <f>IF(D141&gt;0, D141 - J141, 0)</f>
        <v/>
      </c>
      <c r="L141" s="11" t="inlineStr">
        <is>
          <t>22-Min High-Spirited Bollywood Beats Zumba Cardio</t>
        </is>
      </c>
      <c r="M141" s="10" t="inlineStr">
        <is>
          <t>Pending</t>
        </is>
      </c>
      <c r="N141" s="11" t="inlineStr"/>
    </row>
    <row r="142" ht="24" customHeight="1">
      <c r="A142" s="7" t="inlineStr">
        <is>
          <t>2027-03-13</t>
        </is>
      </c>
      <c r="B142" s="7" t="n">
        <v>141</v>
      </c>
      <c r="C142" s="7" t="inlineStr">
        <is>
          <t>Saturday</t>
        </is>
      </c>
      <c r="D142" s="15">
        <f>IFERROR(SUMIFS('Actual Food Log'!E:E, 'Actual Food Log'!A:A, A142), 0)</f>
        <v/>
      </c>
      <c r="E142" s="16">
        <f>IFERROR(SUMIFS('Actual Food Log'!F:F, 'Actual Food Log'!A:A, A142), 0)</f>
        <v/>
      </c>
      <c r="F142" s="15">
        <f>IFERROR(SUMIFS('Actual Exercise Log'!E:E, 'Actual Exercise Log'!A:A, A142), 0)</f>
        <v/>
      </c>
      <c r="G142" s="15">
        <f>Setup!$B$18</f>
        <v/>
      </c>
      <c r="H142" s="15">
        <f>IF(D142&gt;0, G142 + F142, G142)</f>
        <v/>
      </c>
      <c r="I142" s="15">
        <f>IF(D142&gt;0, H142 - D142, 0)</f>
        <v/>
      </c>
      <c r="J142" s="15">
        <f>Setup!$B$20</f>
        <v/>
      </c>
      <c r="K142" s="15">
        <f>IF(D142&gt;0, D142 - J142, 0)</f>
        <v/>
      </c>
      <c r="L142" s="8" t="inlineStr">
        <is>
          <t>REST DAY</t>
        </is>
      </c>
      <c r="M142" s="7" t="inlineStr">
        <is>
          <t>Rest Day Honored ❤️</t>
        </is>
      </c>
      <c r="N142" s="8" t="inlineStr"/>
    </row>
    <row r="143" ht="24" customHeight="1">
      <c r="A143" s="7" t="inlineStr">
        <is>
          <t>2027-03-14</t>
        </is>
      </c>
      <c r="B143" s="7" t="n">
        <v>142</v>
      </c>
      <c r="C143" s="7" t="inlineStr">
        <is>
          <t>Sunday</t>
        </is>
      </c>
      <c r="D143" s="15">
        <f>IFERROR(SUMIFS('Actual Food Log'!E:E, 'Actual Food Log'!A:A, A143), 0)</f>
        <v/>
      </c>
      <c r="E143" s="16">
        <f>IFERROR(SUMIFS('Actual Food Log'!F:F, 'Actual Food Log'!A:A, A143), 0)</f>
        <v/>
      </c>
      <c r="F143" s="15">
        <f>IFERROR(SUMIFS('Actual Exercise Log'!E:E, 'Actual Exercise Log'!A:A, A143), 0)</f>
        <v/>
      </c>
      <c r="G143" s="15">
        <f>Setup!$B$18</f>
        <v/>
      </c>
      <c r="H143" s="15">
        <f>IF(D143&gt;0, G143 + F143, G143)</f>
        <v/>
      </c>
      <c r="I143" s="15">
        <f>IF(D143&gt;0, H143 - D143, 0)</f>
        <v/>
      </c>
      <c r="J143" s="15">
        <f>Setup!$B$20</f>
        <v/>
      </c>
      <c r="K143" s="15">
        <f>IF(D143&gt;0, D143 - J143, 0)</f>
        <v/>
      </c>
      <c r="L143" s="8" t="inlineStr">
        <is>
          <t>REST DAY</t>
        </is>
      </c>
      <c r="M143" s="7" t="inlineStr">
        <is>
          <t>Rest Day Honored ❤️</t>
        </is>
      </c>
      <c r="N143" s="8" t="inlineStr"/>
    </row>
    <row r="144" ht="24" customHeight="1">
      <c r="A144" s="10" t="inlineStr">
        <is>
          <t>2027-03-15</t>
        </is>
      </c>
      <c r="B144" s="10" t="n">
        <v>143</v>
      </c>
      <c r="C144" s="10" t="inlineStr">
        <is>
          <t>Monday</t>
        </is>
      </c>
      <c r="D144" s="17">
        <f>IFERROR(SUMIFS('Actual Food Log'!E:E, 'Actual Food Log'!A:A, A144), 0)</f>
        <v/>
      </c>
      <c r="E144" s="18">
        <f>IFERROR(SUMIFS('Actual Food Log'!F:F, 'Actual Food Log'!A:A, A144), 0)</f>
        <v/>
      </c>
      <c r="F144" s="17">
        <f>IFERROR(SUMIFS('Actual Exercise Log'!E:E, 'Actual Exercise Log'!A:A, A144), 0)</f>
        <v/>
      </c>
      <c r="G144" s="17">
        <f>Setup!$B$18</f>
        <v/>
      </c>
      <c r="H144" s="17">
        <f>IF(D144&gt;0, G144 + F144, G144)</f>
        <v/>
      </c>
      <c r="I144" s="17">
        <f>IF(D144&gt;0, H144 - D144, 0)</f>
        <v/>
      </c>
      <c r="J144" s="17">
        <f>Setup!$B$20</f>
        <v/>
      </c>
      <c r="K144" s="17">
        <f>IF(D144&gt;0, D144 - J144, 0)</f>
        <v/>
      </c>
      <c r="L144" s="11" t="inlineStr">
        <is>
          <t>20-Min Full Body Zumba Fiesta &amp; Core Tone</t>
        </is>
      </c>
      <c r="M144" s="10" t="inlineStr">
        <is>
          <t>Pending</t>
        </is>
      </c>
      <c r="N144" s="11" t="inlineStr"/>
    </row>
    <row r="145" ht="24" customHeight="1">
      <c r="A145" s="10" t="inlineStr">
        <is>
          <t>2027-03-16</t>
        </is>
      </c>
      <c r="B145" s="10" t="n">
        <v>144</v>
      </c>
      <c r="C145" s="10" t="inlineStr">
        <is>
          <t>Tuesday</t>
        </is>
      </c>
      <c r="D145" s="17">
        <f>IFERROR(SUMIFS('Actual Food Log'!E:E, 'Actual Food Log'!A:A, A145), 0)</f>
        <v/>
      </c>
      <c r="E145" s="18">
        <f>IFERROR(SUMIFS('Actual Food Log'!F:F, 'Actual Food Log'!A:A, A145), 0)</f>
        <v/>
      </c>
      <c r="F145" s="17">
        <f>IFERROR(SUMIFS('Actual Exercise Log'!E:E, 'Actual Exercise Log'!A:A, A145), 0)</f>
        <v/>
      </c>
      <c r="G145" s="17">
        <f>Setup!$B$18</f>
        <v/>
      </c>
      <c r="H145" s="17">
        <f>IF(D145&gt;0, G145 + F145, G145)</f>
        <v/>
      </c>
      <c r="I145" s="17">
        <f>IF(D145&gt;0, H145 - D145, 0)</f>
        <v/>
      </c>
      <c r="J145" s="17">
        <f>Setup!$B$20</f>
        <v/>
      </c>
      <c r="K145" s="17">
        <f>IF(D145&gt;0, D145 - J145, 0)</f>
        <v/>
      </c>
      <c r="L145" s="11" t="inlineStr">
        <is>
          <t>22-Min High-Spirited Bollywood Beats Zumba Cardio</t>
        </is>
      </c>
      <c r="M145" s="10" t="inlineStr">
        <is>
          <t>Pending</t>
        </is>
      </c>
      <c r="N145" s="11" t="inlineStr"/>
    </row>
    <row r="146" ht="24" customHeight="1">
      <c r="A146" s="7" t="inlineStr">
        <is>
          <t>2027-03-17</t>
        </is>
      </c>
      <c r="B146" s="7" t="n">
        <v>145</v>
      </c>
      <c r="C146" s="7" t="inlineStr">
        <is>
          <t>Wednesday</t>
        </is>
      </c>
      <c r="D146" s="15">
        <f>IFERROR(SUMIFS('Actual Food Log'!E:E, 'Actual Food Log'!A:A, A146), 0)</f>
        <v/>
      </c>
      <c r="E146" s="16">
        <f>IFERROR(SUMIFS('Actual Food Log'!F:F, 'Actual Food Log'!A:A, A146), 0)</f>
        <v/>
      </c>
      <c r="F146" s="15">
        <f>IFERROR(SUMIFS('Actual Exercise Log'!E:E, 'Actual Exercise Log'!A:A, A146), 0)</f>
        <v/>
      </c>
      <c r="G146" s="15">
        <f>Setup!$B$18</f>
        <v/>
      </c>
      <c r="H146" s="15">
        <f>IF(D146&gt;0, G146 + F146, G146)</f>
        <v/>
      </c>
      <c r="I146" s="15">
        <f>IF(D146&gt;0, H146 - D146, 0)</f>
        <v/>
      </c>
      <c r="J146" s="15">
        <f>Setup!$B$20</f>
        <v/>
      </c>
      <c r="K146" s="15">
        <f>IF(D146&gt;0, D146 - J146, 0)</f>
        <v/>
      </c>
      <c r="L146" s="8" t="inlineStr">
        <is>
          <t>REST DAY</t>
        </is>
      </c>
      <c r="M146" s="7" t="inlineStr">
        <is>
          <t>Rest Day Honored ❤️</t>
        </is>
      </c>
      <c r="N146" s="8" t="inlineStr"/>
    </row>
    <row r="147" ht="24" customHeight="1">
      <c r="A147" s="10" t="inlineStr">
        <is>
          <t>2027-03-18</t>
        </is>
      </c>
      <c r="B147" s="10" t="n">
        <v>146</v>
      </c>
      <c r="C147" s="10" t="inlineStr">
        <is>
          <t>Thursday</t>
        </is>
      </c>
      <c r="D147" s="17">
        <f>IFERROR(SUMIFS('Actual Food Log'!E:E, 'Actual Food Log'!A:A, A147), 0)</f>
        <v/>
      </c>
      <c r="E147" s="18">
        <f>IFERROR(SUMIFS('Actual Food Log'!F:F, 'Actual Food Log'!A:A, A147), 0)</f>
        <v/>
      </c>
      <c r="F147" s="17">
        <f>IFERROR(SUMIFS('Actual Exercise Log'!E:E, 'Actual Exercise Log'!A:A, A147), 0)</f>
        <v/>
      </c>
      <c r="G147" s="17">
        <f>Setup!$B$18</f>
        <v/>
      </c>
      <c r="H147" s="17">
        <f>IF(D147&gt;0, G147 + F147, G147)</f>
        <v/>
      </c>
      <c r="I147" s="17">
        <f>IF(D147&gt;0, H147 - D147, 0)</f>
        <v/>
      </c>
      <c r="J147" s="17">
        <f>Setup!$B$20</f>
        <v/>
      </c>
      <c r="K147" s="17">
        <f>IF(D147&gt;0, D147 - J147, 0)</f>
        <v/>
      </c>
      <c r="L147" s="11" t="inlineStr">
        <is>
          <t>20-Min Full Body Zumba Fiesta &amp; Core Tone</t>
        </is>
      </c>
      <c r="M147" s="10" t="inlineStr">
        <is>
          <t>Pending</t>
        </is>
      </c>
      <c r="N147" s="11" t="inlineStr"/>
    </row>
    <row r="148" ht="24" customHeight="1">
      <c r="A148" s="10" t="inlineStr">
        <is>
          <t>2027-03-19</t>
        </is>
      </c>
      <c r="B148" s="10" t="n">
        <v>147</v>
      </c>
      <c r="C148" s="10" t="inlineStr">
        <is>
          <t>Friday</t>
        </is>
      </c>
      <c r="D148" s="17">
        <f>IFERROR(SUMIFS('Actual Food Log'!E:E, 'Actual Food Log'!A:A, A148), 0)</f>
        <v/>
      </c>
      <c r="E148" s="18">
        <f>IFERROR(SUMIFS('Actual Food Log'!F:F, 'Actual Food Log'!A:A, A148), 0)</f>
        <v/>
      </c>
      <c r="F148" s="17">
        <f>IFERROR(SUMIFS('Actual Exercise Log'!E:E, 'Actual Exercise Log'!A:A, A148), 0)</f>
        <v/>
      </c>
      <c r="G148" s="17">
        <f>Setup!$B$18</f>
        <v/>
      </c>
      <c r="H148" s="17">
        <f>IF(D148&gt;0, G148 + F148, G148)</f>
        <v/>
      </c>
      <c r="I148" s="17">
        <f>IF(D148&gt;0, H148 - D148, 0)</f>
        <v/>
      </c>
      <c r="J148" s="17">
        <f>Setup!$B$20</f>
        <v/>
      </c>
      <c r="K148" s="17">
        <f>IF(D148&gt;0, D148 - J148, 0)</f>
        <v/>
      </c>
      <c r="L148" s="11" t="inlineStr">
        <is>
          <t>22-Min High-Spirited Bollywood Beats Zumba Cardio</t>
        </is>
      </c>
      <c r="M148" s="10" t="inlineStr">
        <is>
          <t>Pending</t>
        </is>
      </c>
      <c r="N148" s="11" t="inlineStr"/>
    </row>
    <row r="149" ht="24" customHeight="1">
      <c r="A149" s="7" t="inlineStr">
        <is>
          <t>2027-03-20</t>
        </is>
      </c>
      <c r="B149" s="7" t="n">
        <v>148</v>
      </c>
      <c r="C149" s="7" t="inlineStr">
        <is>
          <t>Saturday</t>
        </is>
      </c>
      <c r="D149" s="15">
        <f>IFERROR(SUMIFS('Actual Food Log'!E:E, 'Actual Food Log'!A:A, A149), 0)</f>
        <v/>
      </c>
      <c r="E149" s="16">
        <f>IFERROR(SUMIFS('Actual Food Log'!F:F, 'Actual Food Log'!A:A, A149), 0)</f>
        <v/>
      </c>
      <c r="F149" s="15">
        <f>IFERROR(SUMIFS('Actual Exercise Log'!E:E, 'Actual Exercise Log'!A:A, A149), 0)</f>
        <v/>
      </c>
      <c r="G149" s="15">
        <f>Setup!$B$18</f>
        <v/>
      </c>
      <c r="H149" s="15">
        <f>IF(D149&gt;0, G149 + F149, G149)</f>
        <v/>
      </c>
      <c r="I149" s="15">
        <f>IF(D149&gt;0, H149 - D149, 0)</f>
        <v/>
      </c>
      <c r="J149" s="15">
        <f>Setup!$B$20</f>
        <v/>
      </c>
      <c r="K149" s="15">
        <f>IF(D149&gt;0, D149 - J149, 0)</f>
        <v/>
      </c>
      <c r="L149" s="8" t="inlineStr">
        <is>
          <t>REST DAY</t>
        </is>
      </c>
      <c r="M149" s="7" t="inlineStr">
        <is>
          <t>Rest Day Honored ❤️</t>
        </is>
      </c>
      <c r="N149" s="8" t="inlineStr"/>
    </row>
    <row r="150" ht="24" customHeight="1">
      <c r="A150" s="7" t="inlineStr">
        <is>
          <t>2027-03-21</t>
        </is>
      </c>
      <c r="B150" s="7" t="n">
        <v>149</v>
      </c>
      <c r="C150" s="7" t="inlineStr">
        <is>
          <t>Sunday</t>
        </is>
      </c>
      <c r="D150" s="15">
        <f>IFERROR(SUMIFS('Actual Food Log'!E:E, 'Actual Food Log'!A:A, A150), 0)</f>
        <v/>
      </c>
      <c r="E150" s="16">
        <f>IFERROR(SUMIFS('Actual Food Log'!F:F, 'Actual Food Log'!A:A, A150), 0)</f>
        <v/>
      </c>
      <c r="F150" s="15">
        <f>IFERROR(SUMIFS('Actual Exercise Log'!E:E, 'Actual Exercise Log'!A:A, A150), 0)</f>
        <v/>
      </c>
      <c r="G150" s="15">
        <f>Setup!$B$18</f>
        <v/>
      </c>
      <c r="H150" s="15">
        <f>IF(D150&gt;0, G150 + F150, G150)</f>
        <v/>
      </c>
      <c r="I150" s="15">
        <f>IF(D150&gt;0, H150 - D150, 0)</f>
        <v/>
      </c>
      <c r="J150" s="15">
        <f>Setup!$B$20</f>
        <v/>
      </c>
      <c r="K150" s="15">
        <f>IF(D150&gt;0, D150 - J150, 0)</f>
        <v/>
      </c>
      <c r="L150" s="8" t="inlineStr">
        <is>
          <t>REST DAY</t>
        </is>
      </c>
      <c r="M150" s="7" t="inlineStr">
        <is>
          <t>Rest Day Honored ❤️</t>
        </is>
      </c>
      <c r="N150" s="8" t="inlineStr"/>
    </row>
    <row r="151" ht="24" customHeight="1">
      <c r="A151" s="10" t="inlineStr">
        <is>
          <t>2027-03-22</t>
        </is>
      </c>
      <c r="B151" s="10" t="n">
        <v>150</v>
      </c>
      <c r="C151" s="10" t="inlineStr">
        <is>
          <t>Monday</t>
        </is>
      </c>
      <c r="D151" s="17">
        <f>IFERROR(SUMIFS('Actual Food Log'!E:E, 'Actual Food Log'!A:A, A151), 0)</f>
        <v/>
      </c>
      <c r="E151" s="18">
        <f>IFERROR(SUMIFS('Actual Food Log'!F:F, 'Actual Food Log'!A:A, A151), 0)</f>
        <v/>
      </c>
      <c r="F151" s="17">
        <f>IFERROR(SUMIFS('Actual Exercise Log'!E:E, 'Actual Exercise Log'!A:A, A151), 0)</f>
        <v/>
      </c>
      <c r="G151" s="17">
        <f>Setup!$B$18</f>
        <v/>
      </c>
      <c r="H151" s="17">
        <f>IF(D151&gt;0, G151 + F151, G151)</f>
        <v/>
      </c>
      <c r="I151" s="17">
        <f>IF(D151&gt;0, H151 - D151, 0)</f>
        <v/>
      </c>
      <c r="J151" s="17">
        <f>Setup!$B$20</f>
        <v/>
      </c>
      <c r="K151" s="17">
        <f>IF(D151&gt;0, D151 - J151, 0)</f>
        <v/>
      </c>
      <c r="L151" s="11" t="inlineStr">
        <is>
          <t>20-Min Full Body Zumba Fiesta &amp; Core Tone</t>
        </is>
      </c>
      <c r="M151" s="10" t="inlineStr">
        <is>
          <t>Pending</t>
        </is>
      </c>
      <c r="N151" s="11" t="inlineStr"/>
    </row>
    <row r="152" ht="24" customHeight="1">
      <c r="A152" s="10" t="inlineStr">
        <is>
          <t>2027-03-23</t>
        </is>
      </c>
      <c r="B152" s="10" t="n">
        <v>151</v>
      </c>
      <c r="C152" s="10" t="inlineStr">
        <is>
          <t>Tuesday</t>
        </is>
      </c>
      <c r="D152" s="17">
        <f>IFERROR(SUMIFS('Actual Food Log'!E:E, 'Actual Food Log'!A:A, A152), 0)</f>
        <v/>
      </c>
      <c r="E152" s="18">
        <f>IFERROR(SUMIFS('Actual Food Log'!F:F, 'Actual Food Log'!A:A, A152), 0)</f>
        <v/>
      </c>
      <c r="F152" s="17">
        <f>IFERROR(SUMIFS('Actual Exercise Log'!E:E, 'Actual Exercise Log'!A:A, A152), 0)</f>
        <v/>
      </c>
      <c r="G152" s="17">
        <f>Setup!$B$18</f>
        <v/>
      </c>
      <c r="H152" s="17">
        <f>IF(D152&gt;0, G152 + F152, G152)</f>
        <v/>
      </c>
      <c r="I152" s="17">
        <f>IF(D152&gt;0, H152 - D152, 0)</f>
        <v/>
      </c>
      <c r="J152" s="17">
        <f>Setup!$B$20</f>
        <v/>
      </c>
      <c r="K152" s="17">
        <f>IF(D152&gt;0, D152 - J152, 0)</f>
        <v/>
      </c>
      <c r="L152" s="11" t="inlineStr">
        <is>
          <t>20-Min Full Body Zumba Fiesta &amp; Core Tone</t>
        </is>
      </c>
      <c r="M152" s="10" t="inlineStr">
        <is>
          <t>Pending</t>
        </is>
      </c>
      <c r="N152" s="11" t="inlineStr"/>
    </row>
    <row r="153" ht="24" customHeight="1">
      <c r="A153" s="7" t="inlineStr">
        <is>
          <t>2027-03-24</t>
        </is>
      </c>
      <c r="B153" s="7" t="n">
        <v>152</v>
      </c>
      <c r="C153" s="7" t="inlineStr">
        <is>
          <t>Wednesday</t>
        </is>
      </c>
      <c r="D153" s="15">
        <f>IFERROR(SUMIFS('Actual Food Log'!E:E, 'Actual Food Log'!A:A, A153), 0)</f>
        <v/>
      </c>
      <c r="E153" s="16">
        <f>IFERROR(SUMIFS('Actual Food Log'!F:F, 'Actual Food Log'!A:A, A153), 0)</f>
        <v/>
      </c>
      <c r="F153" s="15">
        <f>IFERROR(SUMIFS('Actual Exercise Log'!E:E, 'Actual Exercise Log'!A:A, A153), 0)</f>
        <v/>
      </c>
      <c r="G153" s="15">
        <f>Setup!$B$18</f>
        <v/>
      </c>
      <c r="H153" s="15">
        <f>IF(D153&gt;0, G153 + F153, G153)</f>
        <v/>
      </c>
      <c r="I153" s="15">
        <f>IF(D153&gt;0, H153 - D153, 0)</f>
        <v/>
      </c>
      <c r="J153" s="15">
        <f>Setup!$B$20</f>
        <v/>
      </c>
      <c r="K153" s="15">
        <f>IF(D153&gt;0, D153 - J153, 0)</f>
        <v/>
      </c>
      <c r="L153" s="8" t="inlineStr">
        <is>
          <t>REST DAY</t>
        </is>
      </c>
      <c r="M153" s="7" t="inlineStr">
        <is>
          <t>Rest Day Honored ❤️</t>
        </is>
      </c>
      <c r="N153" s="8" t="inlineStr"/>
    </row>
    <row r="154" ht="24" customHeight="1">
      <c r="A154" s="10" t="inlineStr">
        <is>
          <t>2027-03-25</t>
        </is>
      </c>
      <c r="B154" s="10" t="n">
        <v>153</v>
      </c>
      <c r="C154" s="10" t="inlineStr">
        <is>
          <t>Thursday</t>
        </is>
      </c>
      <c r="D154" s="17">
        <f>IFERROR(SUMIFS('Actual Food Log'!E:E, 'Actual Food Log'!A:A, A154), 0)</f>
        <v/>
      </c>
      <c r="E154" s="18">
        <f>IFERROR(SUMIFS('Actual Food Log'!F:F, 'Actual Food Log'!A:A, A154), 0)</f>
        <v/>
      </c>
      <c r="F154" s="17">
        <f>IFERROR(SUMIFS('Actual Exercise Log'!E:E, 'Actual Exercise Log'!A:A, A154), 0)</f>
        <v/>
      </c>
      <c r="G154" s="17">
        <f>Setup!$B$18</f>
        <v/>
      </c>
      <c r="H154" s="17">
        <f>IF(D154&gt;0, G154 + F154, G154)</f>
        <v/>
      </c>
      <c r="I154" s="17">
        <f>IF(D154&gt;0, H154 - D154, 0)</f>
        <v/>
      </c>
      <c r="J154" s="17">
        <f>Setup!$B$20</f>
        <v/>
      </c>
      <c r="K154" s="17">
        <f>IF(D154&gt;0, D154 - J154, 0)</f>
        <v/>
      </c>
      <c r="L154" s="11" t="inlineStr">
        <is>
          <t>25-Min Radiant Celebration Zumba Masterclass</t>
        </is>
      </c>
      <c r="M154" s="10" t="inlineStr">
        <is>
          <t>Pending</t>
        </is>
      </c>
      <c r="N154" s="11" t="inlineStr"/>
    </row>
    <row r="155" ht="24" customHeight="1">
      <c r="A155" s="10" t="inlineStr">
        <is>
          <t>2027-03-26</t>
        </is>
      </c>
      <c r="B155" s="10" t="n">
        <v>154</v>
      </c>
      <c r="C155" s="10" t="inlineStr">
        <is>
          <t>Friday</t>
        </is>
      </c>
      <c r="D155" s="17">
        <f>IFERROR(SUMIFS('Actual Food Log'!E:E, 'Actual Food Log'!A:A, A155), 0)</f>
        <v/>
      </c>
      <c r="E155" s="18">
        <f>IFERROR(SUMIFS('Actual Food Log'!F:F, 'Actual Food Log'!A:A, A155), 0)</f>
        <v/>
      </c>
      <c r="F155" s="17">
        <f>IFERROR(SUMIFS('Actual Exercise Log'!E:E, 'Actual Exercise Log'!A:A, A155), 0)</f>
        <v/>
      </c>
      <c r="G155" s="17">
        <f>Setup!$B$18</f>
        <v/>
      </c>
      <c r="H155" s="17">
        <f>IF(D155&gt;0, G155 + F155, G155)</f>
        <v/>
      </c>
      <c r="I155" s="17">
        <f>IF(D155&gt;0, H155 - D155, 0)</f>
        <v/>
      </c>
      <c r="J155" s="17">
        <f>Setup!$B$20</f>
        <v/>
      </c>
      <c r="K155" s="17">
        <f>IF(D155&gt;0, D155 - J155, 0)</f>
        <v/>
      </c>
      <c r="L155" s="11" t="inlineStr">
        <is>
          <t>20-Min Full Body Zumba Fiesta &amp; Core Tone</t>
        </is>
      </c>
      <c r="M155" s="10" t="inlineStr">
        <is>
          <t>Pending</t>
        </is>
      </c>
      <c r="N155" s="11" t="inlineStr"/>
    </row>
    <row r="156" ht="24" customHeight="1">
      <c r="A156" s="7" t="inlineStr">
        <is>
          <t>2027-03-27</t>
        </is>
      </c>
      <c r="B156" s="7" t="n">
        <v>155</v>
      </c>
      <c r="C156" s="7" t="inlineStr">
        <is>
          <t>Saturday</t>
        </is>
      </c>
      <c r="D156" s="15">
        <f>IFERROR(SUMIFS('Actual Food Log'!E:E, 'Actual Food Log'!A:A, A156), 0)</f>
        <v/>
      </c>
      <c r="E156" s="16">
        <f>IFERROR(SUMIFS('Actual Food Log'!F:F, 'Actual Food Log'!A:A, A156), 0)</f>
        <v/>
      </c>
      <c r="F156" s="15">
        <f>IFERROR(SUMIFS('Actual Exercise Log'!E:E, 'Actual Exercise Log'!A:A, A156), 0)</f>
        <v/>
      </c>
      <c r="G156" s="15">
        <f>Setup!$B$18</f>
        <v/>
      </c>
      <c r="H156" s="15">
        <f>IF(D156&gt;0, G156 + F156, G156)</f>
        <v/>
      </c>
      <c r="I156" s="15">
        <f>IF(D156&gt;0, H156 - D156, 0)</f>
        <v/>
      </c>
      <c r="J156" s="15">
        <f>Setup!$B$20</f>
        <v/>
      </c>
      <c r="K156" s="15">
        <f>IF(D156&gt;0, D156 - J156, 0)</f>
        <v/>
      </c>
      <c r="L156" s="8" t="inlineStr">
        <is>
          <t>REST DAY</t>
        </is>
      </c>
      <c r="M156" s="7" t="inlineStr">
        <is>
          <t>Rest Day Honored ❤️</t>
        </is>
      </c>
      <c r="N156" s="8" t="inlineStr"/>
    </row>
    <row r="157" ht="24" customHeight="1">
      <c r="A157" s="7" t="inlineStr">
        <is>
          <t>2027-03-28</t>
        </is>
      </c>
      <c r="B157" s="7" t="n">
        <v>156</v>
      </c>
      <c r="C157" s="7" t="inlineStr">
        <is>
          <t>Sunday</t>
        </is>
      </c>
      <c r="D157" s="15">
        <f>IFERROR(SUMIFS('Actual Food Log'!E:E, 'Actual Food Log'!A:A, A157), 0)</f>
        <v/>
      </c>
      <c r="E157" s="16">
        <f>IFERROR(SUMIFS('Actual Food Log'!F:F, 'Actual Food Log'!A:A, A157), 0)</f>
        <v/>
      </c>
      <c r="F157" s="15">
        <f>IFERROR(SUMIFS('Actual Exercise Log'!E:E, 'Actual Exercise Log'!A:A, A157), 0)</f>
        <v/>
      </c>
      <c r="G157" s="15">
        <f>Setup!$B$18</f>
        <v/>
      </c>
      <c r="H157" s="15">
        <f>IF(D157&gt;0, G157 + F157, G157)</f>
        <v/>
      </c>
      <c r="I157" s="15">
        <f>IF(D157&gt;0, H157 - D157, 0)</f>
        <v/>
      </c>
      <c r="J157" s="15">
        <f>Setup!$B$20</f>
        <v/>
      </c>
      <c r="K157" s="15">
        <f>IF(D157&gt;0, D157 - J157, 0)</f>
        <v/>
      </c>
      <c r="L157" s="8" t="inlineStr">
        <is>
          <t>REST DAY</t>
        </is>
      </c>
      <c r="M157" s="7" t="inlineStr">
        <is>
          <t>Rest Day Honored ❤️</t>
        </is>
      </c>
      <c r="N157" s="8" t="inlineStr"/>
    </row>
    <row r="158" ht="24" customHeight="1">
      <c r="A158" s="10" t="inlineStr">
        <is>
          <t>2027-03-29</t>
        </is>
      </c>
      <c r="B158" s="10" t="n">
        <v>157</v>
      </c>
      <c r="C158" s="10" t="inlineStr">
        <is>
          <t>Monday</t>
        </is>
      </c>
      <c r="D158" s="17">
        <f>IFERROR(SUMIFS('Actual Food Log'!E:E, 'Actual Food Log'!A:A, A158), 0)</f>
        <v/>
      </c>
      <c r="E158" s="18">
        <f>IFERROR(SUMIFS('Actual Food Log'!F:F, 'Actual Food Log'!A:A, A158), 0)</f>
        <v/>
      </c>
      <c r="F158" s="17">
        <f>IFERROR(SUMIFS('Actual Exercise Log'!E:E, 'Actual Exercise Log'!A:A, A158), 0)</f>
        <v/>
      </c>
      <c r="G158" s="17">
        <f>Setup!$B$18</f>
        <v/>
      </c>
      <c r="H158" s="17">
        <f>IF(D158&gt;0, G158 + F158, G158)</f>
        <v/>
      </c>
      <c r="I158" s="17">
        <f>IF(D158&gt;0, H158 - D158, 0)</f>
        <v/>
      </c>
      <c r="J158" s="17">
        <f>Setup!$B$20</f>
        <v/>
      </c>
      <c r="K158" s="17">
        <f>IF(D158&gt;0, D158 - J158, 0)</f>
        <v/>
      </c>
      <c r="L158" s="11" t="inlineStr">
        <is>
          <t>25-Min Radiant Celebration Zumba Masterclass</t>
        </is>
      </c>
      <c r="M158" s="10" t="inlineStr">
        <is>
          <t>Pending</t>
        </is>
      </c>
      <c r="N158" s="11" t="inlineStr"/>
    </row>
    <row r="159" ht="24" customHeight="1">
      <c r="A159" s="10" t="inlineStr">
        <is>
          <t>2027-03-30</t>
        </is>
      </c>
      <c r="B159" s="10" t="n">
        <v>158</v>
      </c>
      <c r="C159" s="10" t="inlineStr">
        <is>
          <t>Tuesday</t>
        </is>
      </c>
      <c r="D159" s="17">
        <f>IFERROR(SUMIFS('Actual Food Log'!E:E, 'Actual Food Log'!A:A, A159), 0)</f>
        <v/>
      </c>
      <c r="E159" s="18">
        <f>IFERROR(SUMIFS('Actual Food Log'!F:F, 'Actual Food Log'!A:A, A159), 0)</f>
        <v/>
      </c>
      <c r="F159" s="17">
        <f>IFERROR(SUMIFS('Actual Exercise Log'!E:E, 'Actual Exercise Log'!A:A, A159), 0)</f>
        <v/>
      </c>
      <c r="G159" s="17">
        <f>Setup!$B$18</f>
        <v/>
      </c>
      <c r="H159" s="17">
        <f>IF(D159&gt;0, G159 + F159, G159)</f>
        <v/>
      </c>
      <c r="I159" s="17">
        <f>IF(D159&gt;0, H159 - D159, 0)</f>
        <v/>
      </c>
      <c r="J159" s="17">
        <f>Setup!$B$20</f>
        <v/>
      </c>
      <c r="K159" s="17">
        <f>IF(D159&gt;0, D159 - J159, 0)</f>
        <v/>
      </c>
      <c r="L159" s="11" t="inlineStr">
        <is>
          <t>20-Min Full Body Zumba Fiesta &amp; Core Tone</t>
        </is>
      </c>
      <c r="M159" s="10" t="inlineStr">
        <is>
          <t>Pending</t>
        </is>
      </c>
      <c r="N159" s="11" t="inlineStr"/>
    </row>
    <row r="160" ht="24" customHeight="1">
      <c r="A160" s="7" t="inlineStr">
        <is>
          <t>2027-03-31</t>
        </is>
      </c>
      <c r="B160" s="7" t="n">
        <v>159</v>
      </c>
      <c r="C160" s="7" t="inlineStr">
        <is>
          <t>Wednesday</t>
        </is>
      </c>
      <c r="D160" s="15">
        <f>IFERROR(SUMIFS('Actual Food Log'!E:E, 'Actual Food Log'!A:A, A160), 0)</f>
        <v/>
      </c>
      <c r="E160" s="16">
        <f>IFERROR(SUMIFS('Actual Food Log'!F:F, 'Actual Food Log'!A:A, A160), 0)</f>
        <v/>
      </c>
      <c r="F160" s="15">
        <f>IFERROR(SUMIFS('Actual Exercise Log'!E:E, 'Actual Exercise Log'!A:A, A160), 0)</f>
        <v/>
      </c>
      <c r="G160" s="15">
        <f>Setup!$B$18</f>
        <v/>
      </c>
      <c r="H160" s="15">
        <f>IF(D160&gt;0, G160 + F160, G160)</f>
        <v/>
      </c>
      <c r="I160" s="15">
        <f>IF(D160&gt;0, H160 - D160, 0)</f>
        <v/>
      </c>
      <c r="J160" s="15">
        <f>Setup!$B$20</f>
        <v/>
      </c>
      <c r="K160" s="15">
        <f>IF(D160&gt;0, D160 - J160, 0)</f>
        <v/>
      </c>
      <c r="L160" s="8" t="inlineStr">
        <is>
          <t>REST DAY</t>
        </is>
      </c>
      <c r="M160" s="7" t="inlineStr">
        <is>
          <t>Rest Day Honored ❤️</t>
        </is>
      </c>
      <c r="N160" s="8" t="inlineStr"/>
    </row>
    <row r="161" ht="24" customHeight="1">
      <c r="A161" s="10" t="inlineStr">
        <is>
          <t>2027-04-01</t>
        </is>
      </c>
      <c r="B161" s="10" t="n">
        <v>160</v>
      </c>
      <c r="C161" s="10" t="inlineStr">
        <is>
          <t>Thursday</t>
        </is>
      </c>
      <c r="D161" s="17">
        <f>IFERROR(SUMIFS('Actual Food Log'!E:E, 'Actual Food Log'!A:A, A161), 0)</f>
        <v/>
      </c>
      <c r="E161" s="18">
        <f>IFERROR(SUMIFS('Actual Food Log'!F:F, 'Actual Food Log'!A:A, A161), 0)</f>
        <v/>
      </c>
      <c r="F161" s="17">
        <f>IFERROR(SUMIFS('Actual Exercise Log'!E:E, 'Actual Exercise Log'!A:A, A161), 0)</f>
        <v/>
      </c>
      <c r="G161" s="17">
        <f>Setup!$B$18</f>
        <v/>
      </c>
      <c r="H161" s="17">
        <f>IF(D161&gt;0, G161 + F161, G161)</f>
        <v/>
      </c>
      <c r="I161" s="17">
        <f>IF(D161&gt;0, H161 - D161, 0)</f>
        <v/>
      </c>
      <c r="J161" s="17">
        <f>Setup!$B$20</f>
        <v/>
      </c>
      <c r="K161" s="17">
        <f>IF(D161&gt;0, D161 - J161, 0)</f>
        <v/>
      </c>
      <c r="L161" s="11" t="inlineStr">
        <is>
          <t>25-Min Radiant Celebration Zumba Masterclass</t>
        </is>
      </c>
      <c r="M161" s="10" t="inlineStr">
        <is>
          <t>Pending</t>
        </is>
      </c>
      <c r="N161" s="11" t="inlineStr"/>
    </row>
    <row r="162" ht="24" customHeight="1">
      <c r="A162" s="10" t="inlineStr">
        <is>
          <t>2027-04-02</t>
        </is>
      </c>
      <c r="B162" s="10" t="n">
        <v>161</v>
      </c>
      <c r="C162" s="10" t="inlineStr">
        <is>
          <t>Friday</t>
        </is>
      </c>
      <c r="D162" s="17">
        <f>IFERROR(SUMIFS('Actual Food Log'!E:E, 'Actual Food Log'!A:A, A162), 0)</f>
        <v/>
      </c>
      <c r="E162" s="18">
        <f>IFERROR(SUMIFS('Actual Food Log'!F:F, 'Actual Food Log'!A:A, A162), 0)</f>
        <v/>
      </c>
      <c r="F162" s="17">
        <f>IFERROR(SUMIFS('Actual Exercise Log'!E:E, 'Actual Exercise Log'!A:A, A162), 0)</f>
        <v/>
      </c>
      <c r="G162" s="17">
        <f>Setup!$B$18</f>
        <v/>
      </c>
      <c r="H162" s="17">
        <f>IF(D162&gt;0, G162 + F162, G162)</f>
        <v/>
      </c>
      <c r="I162" s="17">
        <f>IF(D162&gt;0, H162 - D162, 0)</f>
        <v/>
      </c>
      <c r="J162" s="17">
        <f>Setup!$B$20</f>
        <v/>
      </c>
      <c r="K162" s="17">
        <f>IF(D162&gt;0, D162 - J162, 0)</f>
        <v/>
      </c>
      <c r="L162" s="11" t="inlineStr">
        <is>
          <t>20-Min Full Body Zumba Fiesta &amp; Core Tone</t>
        </is>
      </c>
      <c r="M162" s="10" t="inlineStr">
        <is>
          <t>Pending</t>
        </is>
      </c>
      <c r="N162" s="11" t="inlineStr"/>
    </row>
    <row r="163" ht="24" customHeight="1">
      <c r="A163" s="7" t="inlineStr">
        <is>
          <t>2027-04-03</t>
        </is>
      </c>
      <c r="B163" s="7" t="n">
        <v>162</v>
      </c>
      <c r="C163" s="7" t="inlineStr">
        <is>
          <t>Saturday</t>
        </is>
      </c>
      <c r="D163" s="15">
        <f>IFERROR(SUMIFS('Actual Food Log'!E:E, 'Actual Food Log'!A:A, A163), 0)</f>
        <v/>
      </c>
      <c r="E163" s="16">
        <f>IFERROR(SUMIFS('Actual Food Log'!F:F, 'Actual Food Log'!A:A, A163), 0)</f>
        <v/>
      </c>
      <c r="F163" s="15">
        <f>IFERROR(SUMIFS('Actual Exercise Log'!E:E, 'Actual Exercise Log'!A:A, A163), 0)</f>
        <v/>
      </c>
      <c r="G163" s="15">
        <f>Setup!$B$18</f>
        <v/>
      </c>
      <c r="H163" s="15">
        <f>IF(D163&gt;0, G163 + F163, G163)</f>
        <v/>
      </c>
      <c r="I163" s="15">
        <f>IF(D163&gt;0, H163 - D163, 0)</f>
        <v/>
      </c>
      <c r="J163" s="15">
        <f>Setup!$B$20</f>
        <v/>
      </c>
      <c r="K163" s="15">
        <f>IF(D163&gt;0, D163 - J163, 0)</f>
        <v/>
      </c>
      <c r="L163" s="8" t="inlineStr">
        <is>
          <t>REST DAY</t>
        </is>
      </c>
      <c r="M163" s="7" t="inlineStr">
        <is>
          <t>Rest Day Honored ❤️</t>
        </is>
      </c>
      <c r="N163" s="8" t="inlineStr"/>
    </row>
    <row r="164" ht="24" customHeight="1">
      <c r="A164" s="7" t="inlineStr">
        <is>
          <t>2027-04-04</t>
        </is>
      </c>
      <c r="B164" s="7" t="n">
        <v>163</v>
      </c>
      <c r="C164" s="7" t="inlineStr">
        <is>
          <t>Sunday</t>
        </is>
      </c>
      <c r="D164" s="15">
        <f>IFERROR(SUMIFS('Actual Food Log'!E:E, 'Actual Food Log'!A:A, A164), 0)</f>
        <v/>
      </c>
      <c r="E164" s="16">
        <f>IFERROR(SUMIFS('Actual Food Log'!F:F, 'Actual Food Log'!A:A, A164), 0)</f>
        <v/>
      </c>
      <c r="F164" s="15">
        <f>IFERROR(SUMIFS('Actual Exercise Log'!E:E, 'Actual Exercise Log'!A:A, A164), 0)</f>
        <v/>
      </c>
      <c r="G164" s="15">
        <f>Setup!$B$18</f>
        <v/>
      </c>
      <c r="H164" s="15">
        <f>IF(D164&gt;0, G164 + F164, G164)</f>
        <v/>
      </c>
      <c r="I164" s="15">
        <f>IF(D164&gt;0, H164 - D164, 0)</f>
        <v/>
      </c>
      <c r="J164" s="15">
        <f>Setup!$B$20</f>
        <v/>
      </c>
      <c r="K164" s="15">
        <f>IF(D164&gt;0, D164 - J164, 0)</f>
        <v/>
      </c>
      <c r="L164" s="8" t="inlineStr">
        <is>
          <t>REST DAY</t>
        </is>
      </c>
      <c r="M164" s="7" t="inlineStr">
        <is>
          <t>Rest Day Honored ❤️</t>
        </is>
      </c>
      <c r="N164" s="8" t="inlineStr"/>
    </row>
    <row r="165" ht="24" customHeight="1">
      <c r="A165" s="10" t="inlineStr">
        <is>
          <t>2027-04-05</t>
        </is>
      </c>
      <c r="B165" s="10" t="n">
        <v>164</v>
      </c>
      <c r="C165" s="10" t="inlineStr">
        <is>
          <t>Monday</t>
        </is>
      </c>
      <c r="D165" s="17">
        <f>IFERROR(SUMIFS('Actual Food Log'!E:E, 'Actual Food Log'!A:A, A165), 0)</f>
        <v/>
      </c>
      <c r="E165" s="18">
        <f>IFERROR(SUMIFS('Actual Food Log'!F:F, 'Actual Food Log'!A:A, A165), 0)</f>
        <v/>
      </c>
      <c r="F165" s="17">
        <f>IFERROR(SUMIFS('Actual Exercise Log'!E:E, 'Actual Exercise Log'!A:A, A165), 0)</f>
        <v/>
      </c>
      <c r="G165" s="17">
        <f>Setup!$B$18</f>
        <v/>
      </c>
      <c r="H165" s="17">
        <f>IF(D165&gt;0, G165 + F165, G165)</f>
        <v/>
      </c>
      <c r="I165" s="17">
        <f>IF(D165&gt;0, H165 - D165, 0)</f>
        <v/>
      </c>
      <c r="J165" s="17">
        <f>Setup!$B$20</f>
        <v/>
      </c>
      <c r="K165" s="17">
        <f>IF(D165&gt;0, D165 - J165, 0)</f>
        <v/>
      </c>
      <c r="L165" s="11" t="inlineStr">
        <is>
          <t>25-Min Radiant Celebration Zumba Masterclass</t>
        </is>
      </c>
      <c r="M165" s="10" t="inlineStr">
        <is>
          <t>Pending</t>
        </is>
      </c>
      <c r="N165" s="11" t="inlineStr"/>
    </row>
    <row r="166" ht="24" customHeight="1">
      <c r="A166" s="10" t="inlineStr">
        <is>
          <t>2027-04-06</t>
        </is>
      </c>
      <c r="B166" s="10" t="n">
        <v>165</v>
      </c>
      <c r="C166" s="10" t="inlineStr">
        <is>
          <t>Tuesday</t>
        </is>
      </c>
      <c r="D166" s="17">
        <f>IFERROR(SUMIFS('Actual Food Log'!E:E, 'Actual Food Log'!A:A, A166), 0)</f>
        <v/>
      </c>
      <c r="E166" s="18">
        <f>IFERROR(SUMIFS('Actual Food Log'!F:F, 'Actual Food Log'!A:A, A166), 0)</f>
        <v/>
      </c>
      <c r="F166" s="17">
        <f>IFERROR(SUMIFS('Actual Exercise Log'!E:E, 'Actual Exercise Log'!A:A, A166), 0)</f>
        <v/>
      </c>
      <c r="G166" s="17">
        <f>Setup!$B$18</f>
        <v/>
      </c>
      <c r="H166" s="17">
        <f>IF(D166&gt;0, G166 + F166, G166)</f>
        <v/>
      </c>
      <c r="I166" s="17">
        <f>IF(D166&gt;0, H166 - D166, 0)</f>
        <v/>
      </c>
      <c r="J166" s="17">
        <f>Setup!$B$20</f>
        <v/>
      </c>
      <c r="K166" s="17">
        <f>IF(D166&gt;0, D166 - J166, 0)</f>
        <v/>
      </c>
      <c r="L166" s="11" t="inlineStr">
        <is>
          <t>20-Min Full Body Zumba Fiesta &amp; Core Tone</t>
        </is>
      </c>
      <c r="M166" s="10" t="inlineStr">
        <is>
          <t>Pending</t>
        </is>
      </c>
      <c r="N166" s="11" t="inlineStr"/>
    </row>
    <row r="167" ht="24" customHeight="1">
      <c r="A167" s="7" t="inlineStr">
        <is>
          <t>2027-04-07</t>
        </is>
      </c>
      <c r="B167" s="7" t="n">
        <v>166</v>
      </c>
      <c r="C167" s="7" t="inlineStr">
        <is>
          <t>Wednesday</t>
        </is>
      </c>
      <c r="D167" s="15">
        <f>IFERROR(SUMIFS('Actual Food Log'!E:E, 'Actual Food Log'!A:A, A167), 0)</f>
        <v/>
      </c>
      <c r="E167" s="16">
        <f>IFERROR(SUMIFS('Actual Food Log'!F:F, 'Actual Food Log'!A:A, A167), 0)</f>
        <v/>
      </c>
      <c r="F167" s="15">
        <f>IFERROR(SUMIFS('Actual Exercise Log'!E:E, 'Actual Exercise Log'!A:A, A167), 0)</f>
        <v/>
      </c>
      <c r="G167" s="15">
        <f>Setup!$B$18</f>
        <v/>
      </c>
      <c r="H167" s="15">
        <f>IF(D167&gt;0, G167 + F167, G167)</f>
        <v/>
      </c>
      <c r="I167" s="15">
        <f>IF(D167&gt;0, H167 - D167, 0)</f>
        <v/>
      </c>
      <c r="J167" s="15">
        <f>Setup!$B$20</f>
        <v/>
      </c>
      <c r="K167" s="15">
        <f>IF(D167&gt;0, D167 - J167, 0)</f>
        <v/>
      </c>
      <c r="L167" s="8" t="inlineStr">
        <is>
          <t>REST DAY</t>
        </is>
      </c>
      <c r="M167" s="7" t="inlineStr">
        <is>
          <t>Rest Day Honored ❤️</t>
        </is>
      </c>
      <c r="N167" s="8" t="inlineStr"/>
    </row>
    <row r="168" ht="24" customHeight="1">
      <c r="A168" s="10" t="inlineStr">
        <is>
          <t>2027-04-08</t>
        </is>
      </c>
      <c r="B168" s="10" t="n">
        <v>167</v>
      </c>
      <c r="C168" s="10" t="inlineStr">
        <is>
          <t>Thursday</t>
        </is>
      </c>
      <c r="D168" s="17">
        <f>IFERROR(SUMIFS('Actual Food Log'!E:E, 'Actual Food Log'!A:A, A168), 0)</f>
        <v/>
      </c>
      <c r="E168" s="18">
        <f>IFERROR(SUMIFS('Actual Food Log'!F:F, 'Actual Food Log'!A:A, A168), 0)</f>
        <v/>
      </c>
      <c r="F168" s="17">
        <f>IFERROR(SUMIFS('Actual Exercise Log'!E:E, 'Actual Exercise Log'!A:A, A168), 0)</f>
        <v/>
      </c>
      <c r="G168" s="17">
        <f>Setup!$B$18</f>
        <v/>
      </c>
      <c r="H168" s="17">
        <f>IF(D168&gt;0, G168 + F168, G168)</f>
        <v/>
      </c>
      <c r="I168" s="17">
        <f>IF(D168&gt;0, H168 - D168, 0)</f>
        <v/>
      </c>
      <c r="J168" s="17">
        <f>Setup!$B$20</f>
        <v/>
      </c>
      <c r="K168" s="17">
        <f>IF(D168&gt;0, D168 - J168, 0)</f>
        <v/>
      </c>
      <c r="L168" s="11" t="inlineStr">
        <is>
          <t>25-Min Radiant Celebration Zumba Masterclass</t>
        </is>
      </c>
      <c r="M168" s="10" t="inlineStr">
        <is>
          <t>Pending</t>
        </is>
      </c>
      <c r="N168" s="11" t="inlineStr"/>
    </row>
    <row r="169" ht="24" customHeight="1">
      <c r="A169" s="10" t="inlineStr">
        <is>
          <t>2027-04-09</t>
        </is>
      </c>
      <c r="B169" s="10" t="n">
        <v>168</v>
      </c>
      <c r="C169" s="10" t="inlineStr">
        <is>
          <t>Friday</t>
        </is>
      </c>
      <c r="D169" s="17">
        <f>IFERROR(SUMIFS('Actual Food Log'!E:E, 'Actual Food Log'!A:A, A169), 0)</f>
        <v/>
      </c>
      <c r="E169" s="18">
        <f>IFERROR(SUMIFS('Actual Food Log'!F:F, 'Actual Food Log'!A:A, A169), 0)</f>
        <v/>
      </c>
      <c r="F169" s="17">
        <f>IFERROR(SUMIFS('Actual Exercise Log'!E:E, 'Actual Exercise Log'!A:A, A169), 0)</f>
        <v/>
      </c>
      <c r="G169" s="17">
        <f>Setup!$B$18</f>
        <v/>
      </c>
      <c r="H169" s="17">
        <f>IF(D169&gt;0, G169 + F169, G169)</f>
        <v/>
      </c>
      <c r="I169" s="17">
        <f>IF(D169&gt;0, H169 - D169, 0)</f>
        <v/>
      </c>
      <c r="J169" s="17">
        <f>Setup!$B$20</f>
        <v/>
      </c>
      <c r="K169" s="17">
        <f>IF(D169&gt;0, D169 - J169, 0)</f>
        <v/>
      </c>
      <c r="L169" s="11" t="inlineStr">
        <is>
          <t>20-Min Full Body Zumba Fiesta &amp; Core Tone</t>
        </is>
      </c>
      <c r="M169" s="10" t="inlineStr">
        <is>
          <t>Pending</t>
        </is>
      </c>
      <c r="N169" s="11" t="inlineStr"/>
    </row>
    <row r="170" ht="24" customHeight="1">
      <c r="A170" s="7" t="inlineStr">
        <is>
          <t>2027-04-10</t>
        </is>
      </c>
      <c r="B170" s="7" t="n">
        <v>169</v>
      </c>
      <c r="C170" s="7" t="inlineStr">
        <is>
          <t>Saturday</t>
        </is>
      </c>
      <c r="D170" s="15">
        <f>IFERROR(SUMIFS('Actual Food Log'!E:E, 'Actual Food Log'!A:A, A170), 0)</f>
        <v/>
      </c>
      <c r="E170" s="16">
        <f>IFERROR(SUMIFS('Actual Food Log'!F:F, 'Actual Food Log'!A:A, A170), 0)</f>
        <v/>
      </c>
      <c r="F170" s="15">
        <f>IFERROR(SUMIFS('Actual Exercise Log'!E:E, 'Actual Exercise Log'!A:A, A170), 0)</f>
        <v/>
      </c>
      <c r="G170" s="15">
        <f>Setup!$B$18</f>
        <v/>
      </c>
      <c r="H170" s="15">
        <f>IF(D170&gt;0, G170 + F170, G170)</f>
        <v/>
      </c>
      <c r="I170" s="15">
        <f>IF(D170&gt;0, H170 - D170, 0)</f>
        <v/>
      </c>
      <c r="J170" s="15">
        <f>Setup!$B$20</f>
        <v/>
      </c>
      <c r="K170" s="15">
        <f>IF(D170&gt;0, D170 - J170, 0)</f>
        <v/>
      </c>
      <c r="L170" s="8" t="inlineStr">
        <is>
          <t>REST DAY</t>
        </is>
      </c>
      <c r="M170" s="7" t="inlineStr">
        <is>
          <t>Rest Day Honored ❤️</t>
        </is>
      </c>
      <c r="N170" s="8" t="inlineStr"/>
    </row>
    <row r="171" ht="24" customHeight="1">
      <c r="A171" s="7" t="inlineStr">
        <is>
          <t>2027-04-11</t>
        </is>
      </c>
      <c r="B171" s="7" t="n">
        <v>170</v>
      </c>
      <c r="C171" s="7" t="inlineStr">
        <is>
          <t>Sunday</t>
        </is>
      </c>
      <c r="D171" s="15">
        <f>IFERROR(SUMIFS('Actual Food Log'!E:E, 'Actual Food Log'!A:A, A171), 0)</f>
        <v/>
      </c>
      <c r="E171" s="16">
        <f>IFERROR(SUMIFS('Actual Food Log'!F:F, 'Actual Food Log'!A:A, A171), 0)</f>
        <v/>
      </c>
      <c r="F171" s="15">
        <f>IFERROR(SUMIFS('Actual Exercise Log'!E:E, 'Actual Exercise Log'!A:A, A171), 0)</f>
        <v/>
      </c>
      <c r="G171" s="15">
        <f>Setup!$B$18</f>
        <v/>
      </c>
      <c r="H171" s="15">
        <f>IF(D171&gt;0, G171 + F171, G171)</f>
        <v/>
      </c>
      <c r="I171" s="15">
        <f>IF(D171&gt;0, H171 - D171, 0)</f>
        <v/>
      </c>
      <c r="J171" s="15">
        <f>Setup!$B$20</f>
        <v/>
      </c>
      <c r="K171" s="15">
        <f>IF(D171&gt;0, D171 - J171, 0)</f>
        <v/>
      </c>
      <c r="L171" s="8" t="inlineStr">
        <is>
          <t>REST DAY</t>
        </is>
      </c>
      <c r="M171" s="7" t="inlineStr">
        <is>
          <t>Rest Day Honored ❤️</t>
        </is>
      </c>
      <c r="N171" s="8" t="inlineStr"/>
    </row>
    <row r="172" ht="24" customHeight="1">
      <c r="A172" s="10" t="inlineStr">
        <is>
          <t>2027-04-12</t>
        </is>
      </c>
      <c r="B172" s="10" t="n">
        <v>171</v>
      </c>
      <c r="C172" s="10" t="inlineStr">
        <is>
          <t>Monday</t>
        </is>
      </c>
      <c r="D172" s="17">
        <f>IFERROR(SUMIFS('Actual Food Log'!E:E, 'Actual Food Log'!A:A, A172), 0)</f>
        <v/>
      </c>
      <c r="E172" s="18">
        <f>IFERROR(SUMIFS('Actual Food Log'!F:F, 'Actual Food Log'!A:A, A172), 0)</f>
        <v/>
      </c>
      <c r="F172" s="17">
        <f>IFERROR(SUMIFS('Actual Exercise Log'!E:E, 'Actual Exercise Log'!A:A, A172), 0)</f>
        <v/>
      </c>
      <c r="G172" s="17">
        <f>Setup!$B$18</f>
        <v/>
      </c>
      <c r="H172" s="17">
        <f>IF(D172&gt;0, G172 + F172, G172)</f>
        <v/>
      </c>
      <c r="I172" s="17">
        <f>IF(D172&gt;0, H172 - D172, 0)</f>
        <v/>
      </c>
      <c r="J172" s="17">
        <f>Setup!$B$20</f>
        <v/>
      </c>
      <c r="K172" s="17">
        <f>IF(D172&gt;0, D172 - J172, 0)</f>
        <v/>
      </c>
      <c r="L172" s="11" t="inlineStr">
        <is>
          <t>25-Min Radiant Celebration Zumba Masterclass</t>
        </is>
      </c>
      <c r="M172" s="10" t="inlineStr">
        <is>
          <t>Pending</t>
        </is>
      </c>
      <c r="N172" s="11" t="inlineStr"/>
    </row>
    <row r="173" ht="24" customHeight="1">
      <c r="A173" s="10" t="inlineStr">
        <is>
          <t>2027-04-13</t>
        </is>
      </c>
      <c r="B173" s="10" t="n">
        <v>172</v>
      </c>
      <c r="C173" s="10" t="inlineStr">
        <is>
          <t>Tuesday</t>
        </is>
      </c>
      <c r="D173" s="17">
        <f>IFERROR(SUMIFS('Actual Food Log'!E:E, 'Actual Food Log'!A:A, A173), 0)</f>
        <v/>
      </c>
      <c r="E173" s="18">
        <f>IFERROR(SUMIFS('Actual Food Log'!F:F, 'Actual Food Log'!A:A, A173), 0)</f>
        <v/>
      </c>
      <c r="F173" s="17">
        <f>IFERROR(SUMIFS('Actual Exercise Log'!E:E, 'Actual Exercise Log'!A:A, A173), 0)</f>
        <v/>
      </c>
      <c r="G173" s="17">
        <f>Setup!$B$18</f>
        <v/>
      </c>
      <c r="H173" s="17">
        <f>IF(D173&gt;0, G173 + F173, G173)</f>
        <v/>
      </c>
      <c r="I173" s="17">
        <f>IF(D173&gt;0, H173 - D173, 0)</f>
        <v/>
      </c>
      <c r="J173" s="17">
        <f>Setup!$B$20</f>
        <v/>
      </c>
      <c r="K173" s="17">
        <f>IF(D173&gt;0, D173 - J173, 0)</f>
        <v/>
      </c>
      <c r="L173" s="11" t="inlineStr">
        <is>
          <t>20-Min Full Body Zumba Fiesta &amp; Core Tone</t>
        </is>
      </c>
      <c r="M173" s="10" t="inlineStr">
        <is>
          <t>Pending</t>
        </is>
      </c>
      <c r="N173" s="11" t="inlineStr"/>
    </row>
    <row r="174" ht="24" customHeight="1">
      <c r="A174" s="7" t="inlineStr">
        <is>
          <t>2027-04-14</t>
        </is>
      </c>
      <c r="B174" s="7" t="n">
        <v>173</v>
      </c>
      <c r="C174" s="7" t="inlineStr">
        <is>
          <t>Wednesday</t>
        </is>
      </c>
      <c r="D174" s="15">
        <f>IFERROR(SUMIFS('Actual Food Log'!E:E, 'Actual Food Log'!A:A, A174), 0)</f>
        <v/>
      </c>
      <c r="E174" s="16">
        <f>IFERROR(SUMIFS('Actual Food Log'!F:F, 'Actual Food Log'!A:A, A174), 0)</f>
        <v/>
      </c>
      <c r="F174" s="15">
        <f>IFERROR(SUMIFS('Actual Exercise Log'!E:E, 'Actual Exercise Log'!A:A, A174), 0)</f>
        <v/>
      </c>
      <c r="G174" s="15">
        <f>Setup!$B$18</f>
        <v/>
      </c>
      <c r="H174" s="15">
        <f>IF(D174&gt;0, G174 + F174, G174)</f>
        <v/>
      </c>
      <c r="I174" s="15">
        <f>IF(D174&gt;0, H174 - D174, 0)</f>
        <v/>
      </c>
      <c r="J174" s="15">
        <f>Setup!$B$20</f>
        <v/>
      </c>
      <c r="K174" s="15">
        <f>IF(D174&gt;0, D174 - J174, 0)</f>
        <v/>
      </c>
      <c r="L174" s="8" t="inlineStr">
        <is>
          <t>REST DAY</t>
        </is>
      </c>
      <c r="M174" s="7" t="inlineStr">
        <is>
          <t>Rest Day Honored ❤️</t>
        </is>
      </c>
      <c r="N174" s="8" t="inlineStr"/>
    </row>
    <row r="175" ht="24" customHeight="1">
      <c r="A175" s="10" t="inlineStr">
        <is>
          <t>2027-04-15</t>
        </is>
      </c>
      <c r="B175" s="10" t="n">
        <v>174</v>
      </c>
      <c r="C175" s="10" t="inlineStr">
        <is>
          <t>Thursday</t>
        </is>
      </c>
      <c r="D175" s="17">
        <f>IFERROR(SUMIFS('Actual Food Log'!E:E, 'Actual Food Log'!A:A, A175), 0)</f>
        <v/>
      </c>
      <c r="E175" s="18">
        <f>IFERROR(SUMIFS('Actual Food Log'!F:F, 'Actual Food Log'!A:A, A175), 0)</f>
        <v/>
      </c>
      <c r="F175" s="17">
        <f>IFERROR(SUMIFS('Actual Exercise Log'!E:E, 'Actual Exercise Log'!A:A, A175), 0)</f>
        <v/>
      </c>
      <c r="G175" s="17">
        <f>Setup!$B$18</f>
        <v/>
      </c>
      <c r="H175" s="17">
        <f>IF(D175&gt;0, G175 + F175, G175)</f>
        <v/>
      </c>
      <c r="I175" s="17">
        <f>IF(D175&gt;0, H175 - D175, 0)</f>
        <v/>
      </c>
      <c r="J175" s="17">
        <f>Setup!$B$20</f>
        <v/>
      </c>
      <c r="K175" s="17">
        <f>IF(D175&gt;0, D175 - J175, 0)</f>
        <v/>
      </c>
      <c r="L175" s="11" t="inlineStr">
        <is>
          <t>25-Min Radiant Celebration Zumba Masterclass</t>
        </is>
      </c>
      <c r="M175" s="10" t="inlineStr">
        <is>
          <t>Pending</t>
        </is>
      </c>
      <c r="N175" s="11" t="inlineStr"/>
    </row>
    <row r="176" ht="24" customHeight="1">
      <c r="A176" s="10" t="inlineStr">
        <is>
          <t>2027-04-16</t>
        </is>
      </c>
      <c r="B176" s="10" t="n">
        <v>175</v>
      </c>
      <c r="C176" s="10" t="inlineStr">
        <is>
          <t>Friday</t>
        </is>
      </c>
      <c r="D176" s="17">
        <f>IFERROR(SUMIFS('Actual Food Log'!E:E, 'Actual Food Log'!A:A, A176), 0)</f>
        <v/>
      </c>
      <c r="E176" s="18">
        <f>IFERROR(SUMIFS('Actual Food Log'!F:F, 'Actual Food Log'!A:A, A176), 0)</f>
        <v/>
      </c>
      <c r="F176" s="17">
        <f>IFERROR(SUMIFS('Actual Exercise Log'!E:E, 'Actual Exercise Log'!A:A, A176), 0)</f>
        <v/>
      </c>
      <c r="G176" s="17">
        <f>Setup!$B$18</f>
        <v/>
      </c>
      <c r="H176" s="17">
        <f>IF(D176&gt;0, G176 + F176, G176)</f>
        <v/>
      </c>
      <c r="I176" s="17">
        <f>IF(D176&gt;0, H176 - D176, 0)</f>
        <v/>
      </c>
      <c r="J176" s="17">
        <f>Setup!$B$20</f>
        <v/>
      </c>
      <c r="K176" s="17">
        <f>IF(D176&gt;0, D176 - J176, 0)</f>
        <v/>
      </c>
      <c r="L176" s="11" t="inlineStr">
        <is>
          <t>20-Min Full Body Zumba Fiesta &amp; Core Tone</t>
        </is>
      </c>
      <c r="M176" s="10" t="inlineStr">
        <is>
          <t>Pending</t>
        </is>
      </c>
      <c r="N176" s="11" t="inlineStr"/>
    </row>
    <row r="177" ht="24" customHeight="1">
      <c r="A177" s="7" t="inlineStr">
        <is>
          <t>2027-04-17</t>
        </is>
      </c>
      <c r="B177" s="7" t="n">
        <v>176</v>
      </c>
      <c r="C177" s="7" t="inlineStr">
        <is>
          <t>Saturday</t>
        </is>
      </c>
      <c r="D177" s="15">
        <f>IFERROR(SUMIFS('Actual Food Log'!E:E, 'Actual Food Log'!A:A, A177), 0)</f>
        <v/>
      </c>
      <c r="E177" s="16">
        <f>IFERROR(SUMIFS('Actual Food Log'!F:F, 'Actual Food Log'!A:A, A177), 0)</f>
        <v/>
      </c>
      <c r="F177" s="15">
        <f>IFERROR(SUMIFS('Actual Exercise Log'!E:E, 'Actual Exercise Log'!A:A, A177), 0)</f>
        <v/>
      </c>
      <c r="G177" s="15">
        <f>Setup!$B$18</f>
        <v/>
      </c>
      <c r="H177" s="15">
        <f>IF(D177&gt;0, G177 + F177, G177)</f>
        <v/>
      </c>
      <c r="I177" s="15">
        <f>IF(D177&gt;0, H177 - D177, 0)</f>
        <v/>
      </c>
      <c r="J177" s="15">
        <f>Setup!$B$20</f>
        <v/>
      </c>
      <c r="K177" s="15">
        <f>IF(D177&gt;0, D177 - J177, 0)</f>
        <v/>
      </c>
      <c r="L177" s="8" t="inlineStr">
        <is>
          <t>REST DAY</t>
        </is>
      </c>
      <c r="M177" s="7" t="inlineStr">
        <is>
          <t>Rest Day Honored ❤️</t>
        </is>
      </c>
      <c r="N177" s="8" t="inlineStr"/>
    </row>
    <row r="178" ht="24" customHeight="1">
      <c r="A178" s="7" t="inlineStr">
        <is>
          <t>2027-04-18</t>
        </is>
      </c>
      <c r="B178" s="7" t="n">
        <v>177</v>
      </c>
      <c r="C178" s="7" t="inlineStr">
        <is>
          <t>Sunday</t>
        </is>
      </c>
      <c r="D178" s="15">
        <f>IFERROR(SUMIFS('Actual Food Log'!E:E, 'Actual Food Log'!A:A, A178), 0)</f>
        <v/>
      </c>
      <c r="E178" s="16">
        <f>IFERROR(SUMIFS('Actual Food Log'!F:F, 'Actual Food Log'!A:A, A178), 0)</f>
        <v/>
      </c>
      <c r="F178" s="15">
        <f>IFERROR(SUMIFS('Actual Exercise Log'!E:E, 'Actual Exercise Log'!A:A, A178), 0)</f>
        <v/>
      </c>
      <c r="G178" s="15">
        <f>Setup!$B$18</f>
        <v/>
      </c>
      <c r="H178" s="15">
        <f>IF(D178&gt;0, G178 + F178, G178)</f>
        <v/>
      </c>
      <c r="I178" s="15">
        <f>IF(D178&gt;0, H178 - D178, 0)</f>
        <v/>
      </c>
      <c r="J178" s="15">
        <f>Setup!$B$20</f>
        <v/>
      </c>
      <c r="K178" s="15">
        <f>IF(D178&gt;0, D178 - J178, 0)</f>
        <v/>
      </c>
      <c r="L178" s="8" t="inlineStr">
        <is>
          <t>REST DAY</t>
        </is>
      </c>
      <c r="M178" s="7" t="inlineStr">
        <is>
          <t>Rest Day Honored ❤️</t>
        </is>
      </c>
      <c r="N178" s="8" t="inlineStr"/>
    </row>
    <row r="179" ht="24" customHeight="1">
      <c r="A179" s="10" t="inlineStr">
        <is>
          <t>2027-04-19</t>
        </is>
      </c>
      <c r="B179" s="10" t="n">
        <v>178</v>
      </c>
      <c r="C179" s="10" t="inlineStr">
        <is>
          <t>Monday</t>
        </is>
      </c>
      <c r="D179" s="17">
        <f>IFERROR(SUMIFS('Actual Food Log'!E:E, 'Actual Food Log'!A:A, A179), 0)</f>
        <v/>
      </c>
      <c r="E179" s="18">
        <f>IFERROR(SUMIFS('Actual Food Log'!F:F, 'Actual Food Log'!A:A, A179), 0)</f>
        <v/>
      </c>
      <c r="F179" s="17">
        <f>IFERROR(SUMIFS('Actual Exercise Log'!E:E, 'Actual Exercise Log'!A:A, A179), 0)</f>
        <v/>
      </c>
      <c r="G179" s="17">
        <f>Setup!$B$18</f>
        <v/>
      </c>
      <c r="H179" s="17">
        <f>IF(D179&gt;0, G179 + F179, G179)</f>
        <v/>
      </c>
      <c r="I179" s="17">
        <f>IF(D179&gt;0, H179 - D179, 0)</f>
        <v/>
      </c>
      <c r="J179" s="17">
        <f>Setup!$B$20</f>
        <v/>
      </c>
      <c r="K179" s="17">
        <f>IF(D179&gt;0, D179 - J179, 0)</f>
        <v/>
      </c>
      <c r="L179" s="11" t="inlineStr">
        <is>
          <t>25-Min Radiant Celebration Zumba Masterclass</t>
        </is>
      </c>
      <c r="M179" s="10" t="inlineStr">
        <is>
          <t>Pending</t>
        </is>
      </c>
      <c r="N179" s="11" t="inlineStr"/>
    </row>
    <row r="180" ht="24" customHeight="1">
      <c r="A180" s="10" t="inlineStr">
        <is>
          <t>2027-04-20</t>
        </is>
      </c>
      <c r="B180" s="10" t="n">
        <v>179</v>
      </c>
      <c r="C180" s="10" t="inlineStr">
        <is>
          <t>Tuesday</t>
        </is>
      </c>
      <c r="D180" s="17">
        <f>IFERROR(SUMIFS('Actual Food Log'!E:E, 'Actual Food Log'!A:A, A180), 0)</f>
        <v/>
      </c>
      <c r="E180" s="18">
        <f>IFERROR(SUMIFS('Actual Food Log'!F:F, 'Actual Food Log'!A:A, A180), 0)</f>
        <v/>
      </c>
      <c r="F180" s="17">
        <f>IFERROR(SUMIFS('Actual Exercise Log'!E:E, 'Actual Exercise Log'!A:A, A180), 0)</f>
        <v/>
      </c>
      <c r="G180" s="17">
        <f>Setup!$B$18</f>
        <v/>
      </c>
      <c r="H180" s="17">
        <f>IF(D180&gt;0, G180 + F180, G180)</f>
        <v/>
      </c>
      <c r="I180" s="17">
        <f>IF(D180&gt;0, H180 - D180, 0)</f>
        <v/>
      </c>
      <c r="J180" s="17">
        <f>Setup!$B$20</f>
        <v/>
      </c>
      <c r="K180" s="17">
        <f>IF(D180&gt;0, D180 - J180, 0)</f>
        <v/>
      </c>
      <c r="L180" s="11" t="inlineStr">
        <is>
          <t>20-Min Full Body Zumba Fiesta &amp; Core Tone</t>
        </is>
      </c>
      <c r="M180" s="10" t="inlineStr">
        <is>
          <t>Pending</t>
        </is>
      </c>
      <c r="N180" s="11" t="inlineStr"/>
    </row>
    <row r="181" ht="24" customHeight="1">
      <c r="A181" s="7" t="inlineStr">
        <is>
          <t>2027-04-21</t>
        </is>
      </c>
      <c r="B181" s="7" t="n">
        <v>180</v>
      </c>
      <c r="C181" s="7" t="inlineStr">
        <is>
          <t>Wednesday</t>
        </is>
      </c>
      <c r="D181" s="15">
        <f>IFERROR(SUMIFS('Actual Food Log'!E:E, 'Actual Food Log'!A:A, A181), 0)</f>
        <v/>
      </c>
      <c r="E181" s="16">
        <f>IFERROR(SUMIFS('Actual Food Log'!F:F, 'Actual Food Log'!A:A, A181), 0)</f>
        <v/>
      </c>
      <c r="F181" s="15">
        <f>IFERROR(SUMIFS('Actual Exercise Log'!E:E, 'Actual Exercise Log'!A:A, A181), 0)</f>
        <v/>
      </c>
      <c r="G181" s="15">
        <f>Setup!$B$18</f>
        <v/>
      </c>
      <c r="H181" s="15">
        <f>IF(D181&gt;0, G181 + F181, G181)</f>
        <v/>
      </c>
      <c r="I181" s="15">
        <f>IF(D181&gt;0, H181 - D181, 0)</f>
        <v/>
      </c>
      <c r="J181" s="15">
        <f>Setup!$B$20</f>
        <v/>
      </c>
      <c r="K181" s="15">
        <f>IF(D181&gt;0, D181 - J181, 0)</f>
        <v/>
      </c>
      <c r="L181" s="8" t="inlineStr">
        <is>
          <t>REST DAY</t>
        </is>
      </c>
      <c r="M181" s="7" t="inlineStr">
        <is>
          <t>Rest Day Honored ❤️</t>
        </is>
      </c>
      <c r="N181" s="8" t="inlineStr"/>
    </row>
    <row r="182" ht="24" customHeight="1">
      <c r="A182" s="10" t="inlineStr">
        <is>
          <t>2027-04-22</t>
        </is>
      </c>
      <c r="B182" s="10" t="n">
        <v>181</v>
      </c>
      <c r="C182" s="10" t="inlineStr">
        <is>
          <t>Thursday</t>
        </is>
      </c>
      <c r="D182" s="17">
        <f>IFERROR(SUMIFS('Actual Food Log'!E:E, 'Actual Food Log'!A:A, A182), 0)</f>
        <v/>
      </c>
      <c r="E182" s="18">
        <f>IFERROR(SUMIFS('Actual Food Log'!F:F, 'Actual Food Log'!A:A, A182), 0)</f>
        <v/>
      </c>
      <c r="F182" s="17">
        <f>IFERROR(SUMIFS('Actual Exercise Log'!E:E, 'Actual Exercise Log'!A:A, A182), 0)</f>
        <v/>
      </c>
      <c r="G182" s="17">
        <f>Setup!$B$18</f>
        <v/>
      </c>
      <c r="H182" s="17">
        <f>IF(D182&gt;0, G182 + F182, G182)</f>
        <v/>
      </c>
      <c r="I182" s="17">
        <f>IF(D182&gt;0, H182 - D182, 0)</f>
        <v/>
      </c>
      <c r="J182" s="17">
        <f>Setup!$B$20</f>
        <v/>
      </c>
      <c r="K182" s="17">
        <f>IF(D182&gt;0, D182 - J182, 0)</f>
        <v/>
      </c>
      <c r="L182" s="11" t="inlineStr">
        <is>
          <t>25-Min Radiant Celebration Zumba Masterclass</t>
        </is>
      </c>
      <c r="M182" s="10" t="inlineStr">
        <is>
          <t>Pending</t>
        </is>
      </c>
      <c r="N182" s="11" t="inlineStr"/>
    </row>
    <row r="183" ht="24" customHeight="1">
      <c r="A183" s="10" t="inlineStr">
        <is>
          <t>2027-04-23</t>
        </is>
      </c>
      <c r="B183" s="10" t="n">
        <v>182</v>
      </c>
      <c r="C183" s="10" t="inlineStr">
        <is>
          <t>Friday</t>
        </is>
      </c>
      <c r="D183" s="17">
        <f>IFERROR(SUMIFS('Actual Food Log'!E:E, 'Actual Food Log'!A:A, A183), 0)</f>
        <v/>
      </c>
      <c r="E183" s="18">
        <f>IFERROR(SUMIFS('Actual Food Log'!F:F, 'Actual Food Log'!A:A, A183), 0)</f>
        <v/>
      </c>
      <c r="F183" s="17">
        <f>IFERROR(SUMIFS('Actual Exercise Log'!E:E, 'Actual Exercise Log'!A:A, A183), 0)</f>
        <v/>
      </c>
      <c r="G183" s="17">
        <f>Setup!$B$18</f>
        <v/>
      </c>
      <c r="H183" s="17">
        <f>IF(D183&gt;0, G183 + F183, G183)</f>
        <v/>
      </c>
      <c r="I183" s="17">
        <f>IF(D183&gt;0, H183 - D183, 0)</f>
        <v/>
      </c>
      <c r="J183" s="17">
        <f>Setup!$B$20</f>
        <v/>
      </c>
      <c r="K183" s="17">
        <f>IF(D183&gt;0, D183 - J183, 0)</f>
        <v/>
      </c>
      <c r="L183" s="11" t="inlineStr">
        <is>
          <t>20-Min Full Body Zumba Fiesta &amp; Core Tone</t>
        </is>
      </c>
      <c r="M183" s="10" t="inlineStr">
        <is>
          <t>Pending</t>
        </is>
      </c>
      <c r="N183" s="11" t="inlineStr"/>
    </row>
    <row r="184" ht="24" customHeight="1">
      <c r="A184" s="7" t="inlineStr">
        <is>
          <t>2027-04-24</t>
        </is>
      </c>
      <c r="B184" s="7" t="n">
        <v>183</v>
      </c>
      <c r="C184" s="7" t="inlineStr">
        <is>
          <t>Saturday</t>
        </is>
      </c>
      <c r="D184" s="15">
        <f>IFERROR(SUMIFS('Actual Food Log'!E:E, 'Actual Food Log'!A:A, A184), 0)</f>
        <v/>
      </c>
      <c r="E184" s="16">
        <f>IFERROR(SUMIFS('Actual Food Log'!F:F, 'Actual Food Log'!A:A, A184), 0)</f>
        <v/>
      </c>
      <c r="F184" s="15">
        <f>IFERROR(SUMIFS('Actual Exercise Log'!E:E, 'Actual Exercise Log'!A:A, A184), 0)</f>
        <v/>
      </c>
      <c r="G184" s="15">
        <f>Setup!$B$18</f>
        <v/>
      </c>
      <c r="H184" s="15">
        <f>IF(D184&gt;0, G184 + F184, G184)</f>
        <v/>
      </c>
      <c r="I184" s="15">
        <f>IF(D184&gt;0, H184 - D184, 0)</f>
        <v/>
      </c>
      <c r="J184" s="15">
        <f>Setup!$B$20</f>
        <v/>
      </c>
      <c r="K184" s="15">
        <f>IF(D184&gt;0, D184 - J184, 0)</f>
        <v/>
      </c>
      <c r="L184" s="8" t="inlineStr">
        <is>
          <t>REST DAY</t>
        </is>
      </c>
      <c r="M184" s="7" t="inlineStr">
        <is>
          <t>Rest Day Honored ❤️</t>
        </is>
      </c>
      <c r="N184" s="8" t="inlineStr"/>
    </row>
    <row r="185" ht="24" customHeight="1">
      <c r="A185" s="7" t="inlineStr">
        <is>
          <t>2027-04-25</t>
        </is>
      </c>
      <c r="B185" s="7" t="n">
        <v>184</v>
      </c>
      <c r="C185" s="7" t="inlineStr">
        <is>
          <t>Sunday</t>
        </is>
      </c>
      <c r="D185" s="15">
        <f>IFERROR(SUMIFS('Actual Food Log'!E:E, 'Actual Food Log'!A:A, A185), 0)</f>
        <v/>
      </c>
      <c r="E185" s="16">
        <f>IFERROR(SUMIFS('Actual Food Log'!F:F, 'Actual Food Log'!A:A, A185), 0)</f>
        <v/>
      </c>
      <c r="F185" s="15">
        <f>IFERROR(SUMIFS('Actual Exercise Log'!E:E, 'Actual Exercise Log'!A:A, A185), 0)</f>
        <v/>
      </c>
      <c r="G185" s="15">
        <f>Setup!$B$18</f>
        <v/>
      </c>
      <c r="H185" s="15">
        <f>IF(D185&gt;0, G185 + F185, G185)</f>
        <v/>
      </c>
      <c r="I185" s="15">
        <f>IF(D185&gt;0, H185 - D185, 0)</f>
        <v/>
      </c>
      <c r="J185" s="15">
        <f>Setup!$B$20</f>
        <v/>
      </c>
      <c r="K185" s="15">
        <f>IF(D185&gt;0, D185 - J185, 0)</f>
        <v/>
      </c>
      <c r="L185" s="8" t="inlineStr">
        <is>
          <t>REST DAY</t>
        </is>
      </c>
      <c r="M185" s="7" t="inlineStr">
        <is>
          <t>Rest Day Honored ❤️</t>
        </is>
      </c>
      <c r="N185" s="8" t="inlineStr"/>
    </row>
    <row r="186" ht="24" customHeight="1">
      <c r="A186" s="10" t="inlineStr">
        <is>
          <t>2027-04-26</t>
        </is>
      </c>
      <c r="B186" s="10" t="n">
        <v>185</v>
      </c>
      <c r="C186" s="10" t="inlineStr">
        <is>
          <t>Monday</t>
        </is>
      </c>
      <c r="D186" s="17">
        <f>IFERROR(SUMIFS('Actual Food Log'!E:E, 'Actual Food Log'!A:A, A186), 0)</f>
        <v/>
      </c>
      <c r="E186" s="18">
        <f>IFERROR(SUMIFS('Actual Food Log'!F:F, 'Actual Food Log'!A:A, A186), 0)</f>
        <v/>
      </c>
      <c r="F186" s="17">
        <f>IFERROR(SUMIFS('Actual Exercise Log'!E:E, 'Actual Exercise Log'!A:A, A186), 0)</f>
        <v/>
      </c>
      <c r="G186" s="17">
        <f>Setup!$B$18</f>
        <v/>
      </c>
      <c r="H186" s="17">
        <f>IF(D186&gt;0, G186 + F186, G186)</f>
        <v/>
      </c>
      <c r="I186" s="17">
        <f>IF(D186&gt;0, H186 - D186, 0)</f>
        <v/>
      </c>
      <c r="J186" s="17">
        <f>Setup!$B$20</f>
        <v/>
      </c>
      <c r="K186" s="17">
        <f>IF(D186&gt;0, D186 - J186, 0)</f>
        <v/>
      </c>
      <c r="L186" s="11" t="inlineStr">
        <is>
          <t>25-Min Radiant Celebration Zumba Masterclass</t>
        </is>
      </c>
      <c r="M186" s="10" t="inlineStr">
        <is>
          <t>Pending</t>
        </is>
      </c>
      <c r="N186" s="11" t="inlineStr"/>
    </row>
    <row r="187" ht="24" customHeight="1">
      <c r="A187" s="10" t="inlineStr">
        <is>
          <t>2027-04-27</t>
        </is>
      </c>
      <c r="B187" s="10" t="n">
        <v>186</v>
      </c>
      <c r="C187" s="10" t="inlineStr">
        <is>
          <t>Tuesday</t>
        </is>
      </c>
      <c r="D187" s="17">
        <f>IFERROR(SUMIFS('Actual Food Log'!E:E, 'Actual Food Log'!A:A, A187), 0)</f>
        <v/>
      </c>
      <c r="E187" s="18">
        <f>IFERROR(SUMIFS('Actual Food Log'!F:F, 'Actual Food Log'!A:A, A187), 0)</f>
        <v/>
      </c>
      <c r="F187" s="17">
        <f>IFERROR(SUMIFS('Actual Exercise Log'!E:E, 'Actual Exercise Log'!A:A, A187), 0)</f>
        <v/>
      </c>
      <c r="G187" s="17">
        <f>Setup!$B$18</f>
        <v/>
      </c>
      <c r="H187" s="17">
        <f>IF(D187&gt;0, G187 + F187, G187)</f>
        <v/>
      </c>
      <c r="I187" s="17">
        <f>IF(D187&gt;0, H187 - D187, 0)</f>
        <v/>
      </c>
      <c r="J187" s="17">
        <f>Setup!$B$20</f>
        <v/>
      </c>
      <c r="K187" s="17">
        <f>IF(D187&gt;0, D187 - J187, 0)</f>
        <v/>
      </c>
      <c r="L187" s="11" t="inlineStr">
        <is>
          <t>20-Min Full Body Zumba Fiesta &amp; Core Tone</t>
        </is>
      </c>
      <c r="M187" s="10" t="inlineStr">
        <is>
          <t>Pending</t>
        </is>
      </c>
      <c r="N187" s="11" t="inlineStr"/>
    </row>
    <row r="188" ht="24" customHeight="1">
      <c r="A188" s="7" t="inlineStr">
        <is>
          <t>2027-04-28</t>
        </is>
      </c>
      <c r="B188" s="7" t="n">
        <v>187</v>
      </c>
      <c r="C188" s="7" t="inlineStr">
        <is>
          <t>Wednesday</t>
        </is>
      </c>
      <c r="D188" s="15">
        <f>IFERROR(SUMIFS('Actual Food Log'!E:E, 'Actual Food Log'!A:A, A188), 0)</f>
        <v/>
      </c>
      <c r="E188" s="16">
        <f>IFERROR(SUMIFS('Actual Food Log'!F:F, 'Actual Food Log'!A:A, A188), 0)</f>
        <v/>
      </c>
      <c r="F188" s="15">
        <f>IFERROR(SUMIFS('Actual Exercise Log'!E:E, 'Actual Exercise Log'!A:A, A188), 0)</f>
        <v/>
      </c>
      <c r="G188" s="15">
        <f>Setup!$B$18</f>
        <v/>
      </c>
      <c r="H188" s="15">
        <f>IF(D188&gt;0, G188 + F188, G188)</f>
        <v/>
      </c>
      <c r="I188" s="15">
        <f>IF(D188&gt;0, H188 - D188, 0)</f>
        <v/>
      </c>
      <c r="J188" s="15">
        <f>Setup!$B$20</f>
        <v/>
      </c>
      <c r="K188" s="15">
        <f>IF(D188&gt;0, D188 - J188, 0)</f>
        <v/>
      </c>
      <c r="L188" s="8" t="inlineStr">
        <is>
          <t>REST DAY</t>
        </is>
      </c>
      <c r="M188" s="7" t="inlineStr">
        <is>
          <t>Rest Day Honored ❤️</t>
        </is>
      </c>
      <c r="N188" s="8" t="inlineStr"/>
    </row>
    <row r="189" ht="24" customHeight="1">
      <c r="A189" s="10" t="inlineStr">
        <is>
          <t>2027-04-29</t>
        </is>
      </c>
      <c r="B189" s="10" t="n">
        <v>188</v>
      </c>
      <c r="C189" s="10" t="inlineStr">
        <is>
          <t>Thursday</t>
        </is>
      </c>
      <c r="D189" s="17">
        <f>IFERROR(SUMIFS('Actual Food Log'!E:E, 'Actual Food Log'!A:A, A189), 0)</f>
        <v/>
      </c>
      <c r="E189" s="18">
        <f>IFERROR(SUMIFS('Actual Food Log'!F:F, 'Actual Food Log'!A:A, A189), 0)</f>
        <v/>
      </c>
      <c r="F189" s="17">
        <f>IFERROR(SUMIFS('Actual Exercise Log'!E:E, 'Actual Exercise Log'!A:A, A189), 0)</f>
        <v/>
      </c>
      <c r="G189" s="17">
        <f>Setup!$B$18</f>
        <v/>
      </c>
      <c r="H189" s="17">
        <f>IF(D189&gt;0, G189 + F189, G189)</f>
        <v/>
      </c>
      <c r="I189" s="17">
        <f>IF(D189&gt;0, H189 - D189, 0)</f>
        <v/>
      </c>
      <c r="J189" s="17">
        <f>Setup!$B$20</f>
        <v/>
      </c>
      <c r="K189" s="17">
        <f>IF(D189&gt;0, D189 - J189, 0)</f>
        <v/>
      </c>
      <c r="L189" s="11" t="inlineStr">
        <is>
          <t>25-Min Radiant Celebration Zumba Masterclass</t>
        </is>
      </c>
      <c r="M189" s="10" t="inlineStr">
        <is>
          <t>Pending</t>
        </is>
      </c>
      <c r="N189" s="11" t="inlineStr"/>
    </row>
    <row r="190" ht="24" customHeight="1">
      <c r="A190" s="10" t="inlineStr">
        <is>
          <t>2027-04-30</t>
        </is>
      </c>
      <c r="B190" s="10" t="n">
        <v>189</v>
      </c>
      <c r="C190" s="10" t="inlineStr">
        <is>
          <t>Friday</t>
        </is>
      </c>
      <c r="D190" s="17">
        <f>IFERROR(SUMIFS('Actual Food Log'!E:E, 'Actual Food Log'!A:A, A190), 0)</f>
        <v/>
      </c>
      <c r="E190" s="18">
        <f>IFERROR(SUMIFS('Actual Food Log'!F:F, 'Actual Food Log'!A:A, A190), 0)</f>
        <v/>
      </c>
      <c r="F190" s="17">
        <f>IFERROR(SUMIFS('Actual Exercise Log'!E:E, 'Actual Exercise Log'!A:A, A190), 0)</f>
        <v/>
      </c>
      <c r="G190" s="17">
        <f>Setup!$B$18</f>
        <v/>
      </c>
      <c r="H190" s="17">
        <f>IF(D190&gt;0, G190 + F190, G190)</f>
        <v/>
      </c>
      <c r="I190" s="17">
        <f>IF(D190&gt;0, H190 - D190, 0)</f>
        <v/>
      </c>
      <c r="J190" s="17">
        <f>Setup!$B$20</f>
        <v/>
      </c>
      <c r="K190" s="17">
        <f>IF(D190&gt;0, D190 - J190, 0)</f>
        <v/>
      </c>
      <c r="L190" s="11" t="inlineStr">
        <is>
          <t>20-Min Full Body Zumba Fiesta &amp; Core Tone</t>
        </is>
      </c>
      <c r="M190" s="10" t="inlineStr">
        <is>
          <t>Pending</t>
        </is>
      </c>
      <c r="N190" s="11" t="inlineStr"/>
    </row>
    <row r="191" ht="24" customHeight="1">
      <c r="A191" s="7" t="inlineStr">
        <is>
          <t>2027-05-01</t>
        </is>
      </c>
      <c r="B191" s="7" t="n">
        <v>190</v>
      </c>
      <c r="C191" s="7" t="inlineStr">
        <is>
          <t>Saturday</t>
        </is>
      </c>
      <c r="D191" s="15">
        <f>IFERROR(SUMIFS('Actual Food Log'!E:E, 'Actual Food Log'!A:A, A191), 0)</f>
        <v/>
      </c>
      <c r="E191" s="16">
        <f>IFERROR(SUMIFS('Actual Food Log'!F:F, 'Actual Food Log'!A:A, A191), 0)</f>
        <v/>
      </c>
      <c r="F191" s="15">
        <f>IFERROR(SUMIFS('Actual Exercise Log'!E:E, 'Actual Exercise Log'!A:A, A191), 0)</f>
        <v/>
      </c>
      <c r="G191" s="15">
        <f>Setup!$B$18</f>
        <v/>
      </c>
      <c r="H191" s="15">
        <f>IF(D191&gt;0, G191 + F191, G191)</f>
        <v/>
      </c>
      <c r="I191" s="15">
        <f>IF(D191&gt;0, H191 - D191, 0)</f>
        <v/>
      </c>
      <c r="J191" s="15">
        <f>Setup!$B$20</f>
        <v/>
      </c>
      <c r="K191" s="15">
        <f>IF(D191&gt;0, D191 - J191, 0)</f>
        <v/>
      </c>
      <c r="L191" s="8" t="inlineStr">
        <is>
          <t>REST DAY</t>
        </is>
      </c>
      <c r="M191" s="7" t="inlineStr">
        <is>
          <t>Rest Day Honored ❤️</t>
        </is>
      </c>
      <c r="N191" s="8" t="inlineStr"/>
    </row>
    <row r="192" ht="24" customHeight="1">
      <c r="A192" s="7" t="inlineStr">
        <is>
          <t>2027-05-02</t>
        </is>
      </c>
      <c r="B192" s="7" t="n">
        <v>191</v>
      </c>
      <c r="C192" s="7" t="inlineStr">
        <is>
          <t>Sunday</t>
        </is>
      </c>
      <c r="D192" s="15">
        <f>IFERROR(SUMIFS('Actual Food Log'!E:E, 'Actual Food Log'!A:A, A192), 0)</f>
        <v/>
      </c>
      <c r="E192" s="16">
        <f>IFERROR(SUMIFS('Actual Food Log'!F:F, 'Actual Food Log'!A:A, A192), 0)</f>
        <v/>
      </c>
      <c r="F192" s="15">
        <f>IFERROR(SUMIFS('Actual Exercise Log'!E:E, 'Actual Exercise Log'!A:A, A192), 0)</f>
        <v/>
      </c>
      <c r="G192" s="15">
        <f>Setup!$B$18</f>
        <v/>
      </c>
      <c r="H192" s="15">
        <f>IF(D192&gt;0, G192 + F192, G192)</f>
        <v/>
      </c>
      <c r="I192" s="15">
        <f>IF(D192&gt;0, H192 - D192, 0)</f>
        <v/>
      </c>
      <c r="J192" s="15">
        <f>Setup!$B$20</f>
        <v/>
      </c>
      <c r="K192" s="15">
        <f>IF(D192&gt;0, D192 - J192, 0)</f>
        <v/>
      </c>
      <c r="L192" s="8" t="inlineStr">
        <is>
          <t>REST DAY</t>
        </is>
      </c>
      <c r="M192" s="7" t="inlineStr">
        <is>
          <t>Rest Day Honored ❤️</t>
        </is>
      </c>
      <c r="N192" s="8" t="inlineStr"/>
    </row>
    <row r="193" ht="24" customHeight="1">
      <c r="A193" s="10" t="inlineStr">
        <is>
          <t>2027-05-03</t>
        </is>
      </c>
      <c r="B193" s="10" t="n">
        <v>192</v>
      </c>
      <c r="C193" s="10" t="inlineStr">
        <is>
          <t>Monday</t>
        </is>
      </c>
      <c r="D193" s="17">
        <f>IFERROR(SUMIFS('Actual Food Log'!E:E, 'Actual Food Log'!A:A, A193), 0)</f>
        <v/>
      </c>
      <c r="E193" s="18">
        <f>IFERROR(SUMIFS('Actual Food Log'!F:F, 'Actual Food Log'!A:A, A193), 0)</f>
        <v/>
      </c>
      <c r="F193" s="17">
        <f>IFERROR(SUMIFS('Actual Exercise Log'!E:E, 'Actual Exercise Log'!A:A, A193), 0)</f>
        <v/>
      </c>
      <c r="G193" s="17">
        <f>Setup!$B$18</f>
        <v/>
      </c>
      <c r="H193" s="17">
        <f>IF(D193&gt;0, G193 + F193, G193)</f>
        <v/>
      </c>
      <c r="I193" s="17">
        <f>IF(D193&gt;0, H193 - D193, 0)</f>
        <v/>
      </c>
      <c r="J193" s="17">
        <f>Setup!$B$20</f>
        <v/>
      </c>
      <c r="K193" s="17">
        <f>IF(D193&gt;0, D193 - J193, 0)</f>
        <v/>
      </c>
      <c r="L193" s="11" t="inlineStr">
        <is>
          <t>25-Min Radiant Celebration Zumba Masterclass</t>
        </is>
      </c>
      <c r="M193" s="10" t="inlineStr">
        <is>
          <t>Pending</t>
        </is>
      </c>
      <c r="N193" s="11" t="inlineStr"/>
    </row>
    <row r="194" ht="24" customHeight="1">
      <c r="A194" s="10" t="inlineStr">
        <is>
          <t>2027-05-04</t>
        </is>
      </c>
      <c r="B194" s="10" t="n">
        <v>193</v>
      </c>
      <c r="C194" s="10" t="inlineStr">
        <is>
          <t>Tuesday</t>
        </is>
      </c>
      <c r="D194" s="17">
        <f>IFERROR(SUMIFS('Actual Food Log'!E:E, 'Actual Food Log'!A:A, A194), 0)</f>
        <v/>
      </c>
      <c r="E194" s="18">
        <f>IFERROR(SUMIFS('Actual Food Log'!F:F, 'Actual Food Log'!A:A, A194), 0)</f>
        <v/>
      </c>
      <c r="F194" s="17">
        <f>IFERROR(SUMIFS('Actual Exercise Log'!E:E, 'Actual Exercise Log'!A:A, A194), 0)</f>
        <v/>
      </c>
      <c r="G194" s="17">
        <f>Setup!$B$18</f>
        <v/>
      </c>
      <c r="H194" s="17">
        <f>IF(D194&gt;0, G194 + F194, G194)</f>
        <v/>
      </c>
      <c r="I194" s="17">
        <f>IF(D194&gt;0, H194 - D194, 0)</f>
        <v/>
      </c>
      <c r="J194" s="17">
        <f>Setup!$B$20</f>
        <v/>
      </c>
      <c r="K194" s="17">
        <f>IF(D194&gt;0, D194 - J194, 0)</f>
        <v/>
      </c>
      <c r="L194" s="11" t="inlineStr">
        <is>
          <t>20-Min Full Body Zumba Fiesta &amp; Core Tone</t>
        </is>
      </c>
      <c r="M194" s="10" t="inlineStr">
        <is>
          <t>Pending</t>
        </is>
      </c>
      <c r="N194" s="11" t="inlineStr"/>
    </row>
    <row r="195" ht="24" customHeight="1">
      <c r="A195" s="7" t="inlineStr">
        <is>
          <t>2027-05-05</t>
        </is>
      </c>
      <c r="B195" s="7" t="n">
        <v>194</v>
      </c>
      <c r="C195" s="7" t="inlineStr">
        <is>
          <t>Wednesday</t>
        </is>
      </c>
      <c r="D195" s="15">
        <f>IFERROR(SUMIFS('Actual Food Log'!E:E, 'Actual Food Log'!A:A, A195), 0)</f>
        <v/>
      </c>
      <c r="E195" s="16">
        <f>IFERROR(SUMIFS('Actual Food Log'!F:F, 'Actual Food Log'!A:A, A195), 0)</f>
        <v/>
      </c>
      <c r="F195" s="15">
        <f>IFERROR(SUMIFS('Actual Exercise Log'!E:E, 'Actual Exercise Log'!A:A, A195), 0)</f>
        <v/>
      </c>
      <c r="G195" s="15">
        <f>Setup!$B$18</f>
        <v/>
      </c>
      <c r="H195" s="15">
        <f>IF(D195&gt;0, G195 + F195, G195)</f>
        <v/>
      </c>
      <c r="I195" s="15">
        <f>IF(D195&gt;0, H195 - D195, 0)</f>
        <v/>
      </c>
      <c r="J195" s="15">
        <f>Setup!$B$20</f>
        <v/>
      </c>
      <c r="K195" s="15">
        <f>IF(D195&gt;0, D195 - J195, 0)</f>
        <v/>
      </c>
      <c r="L195" s="8" t="inlineStr">
        <is>
          <t>REST DAY</t>
        </is>
      </c>
      <c r="M195" s="7" t="inlineStr">
        <is>
          <t>Rest Day Honored ❤️</t>
        </is>
      </c>
      <c r="N195" s="8" t="inlineStr"/>
    </row>
    <row r="196" ht="24" customHeight="1">
      <c r="A196" s="10" t="inlineStr">
        <is>
          <t>2027-05-06</t>
        </is>
      </c>
      <c r="B196" s="10" t="n">
        <v>195</v>
      </c>
      <c r="C196" s="10" t="inlineStr">
        <is>
          <t>Thursday</t>
        </is>
      </c>
      <c r="D196" s="17">
        <f>IFERROR(SUMIFS('Actual Food Log'!E:E, 'Actual Food Log'!A:A, A196), 0)</f>
        <v/>
      </c>
      <c r="E196" s="18">
        <f>IFERROR(SUMIFS('Actual Food Log'!F:F, 'Actual Food Log'!A:A, A196), 0)</f>
        <v/>
      </c>
      <c r="F196" s="17">
        <f>IFERROR(SUMIFS('Actual Exercise Log'!E:E, 'Actual Exercise Log'!A:A, A196), 0)</f>
        <v/>
      </c>
      <c r="G196" s="17">
        <f>Setup!$B$18</f>
        <v/>
      </c>
      <c r="H196" s="17">
        <f>IF(D196&gt;0, G196 + F196, G196)</f>
        <v/>
      </c>
      <c r="I196" s="17">
        <f>IF(D196&gt;0, H196 - D196, 0)</f>
        <v/>
      </c>
      <c r="J196" s="17">
        <f>Setup!$B$20</f>
        <v/>
      </c>
      <c r="K196" s="17">
        <f>IF(D196&gt;0, D196 - J196, 0)</f>
        <v/>
      </c>
      <c r="L196" s="11" t="inlineStr">
        <is>
          <t>25-Min Radiant Celebration Zumba Masterclass</t>
        </is>
      </c>
      <c r="M196" s="10" t="inlineStr">
        <is>
          <t>Pending</t>
        </is>
      </c>
      <c r="N196" s="11" t="inlineStr"/>
    </row>
    <row r="197" ht="24" customHeight="1">
      <c r="A197" s="10" t="inlineStr">
        <is>
          <t>2027-05-07</t>
        </is>
      </c>
      <c r="B197" s="10" t="n">
        <v>196</v>
      </c>
      <c r="C197" s="10" t="inlineStr">
        <is>
          <t>Friday</t>
        </is>
      </c>
      <c r="D197" s="17">
        <f>IFERROR(SUMIFS('Actual Food Log'!E:E, 'Actual Food Log'!A:A, A197), 0)</f>
        <v/>
      </c>
      <c r="E197" s="18">
        <f>IFERROR(SUMIFS('Actual Food Log'!F:F, 'Actual Food Log'!A:A, A197), 0)</f>
        <v/>
      </c>
      <c r="F197" s="17">
        <f>IFERROR(SUMIFS('Actual Exercise Log'!E:E, 'Actual Exercise Log'!A:A, A197), 0)</f>
        <v/>
      </c>
      <c r="G197" s="17">
        <f>Setup!$B$18</f>
        <v/>
      </c>
      <c r="H197" s="17">
        <f>IF(D197&gt;0, G197 + F197, G197)</f>
        <v/>
      </c>
      <c r="I197" s="17">
        <f>IF(D197&gt;0, H197 - D197, 0)</f>
        <v/>
      </c>
      <c r="J197" s="17">
        <f>Setup!$B$20</f>
        <v/>
      </c>
      <c r="K197" s="17">
        <f>IF(D197&gt;0, D197 - J197, 0)</f>
        <v/>
      </c>
      <c r="L197" s="11" t="inlineStr">
        <is>
          <t>20-Min Full Body Zumba Fiesta &amp; Core Tone</t>
        </is>
      </c>
      <c r="M197" s="10" t="inlineStr">
        <is>
          <t>Pending</t>
        </is>
      </c>
      <c r="N197" s="11" t="inlineStr"/>
    </row>
    <row r="198" ht="24" customHeight="1">
      <c r="A198" s="7" t="inlineStr">
        <is>
          <t>2027-05-08</t>
        </is>
      </c>
      <c r="B198" s="7" t="n">
        <v>197</v>
      </c>
      <c r="C198" s="7" t="inlineStr">
        <is>
          <t>Saturday</t>
        </is>
      </c>
      <c r="D198" s="15">
        <f>IFERROR(SUMIFS('Actual Food Log'!E:E, 'Actual Food Log'!A:A, A198), 0)</f>
        <v/>
      </c>
      <c r="E198" s="16">
        <f>IFERROR(SUMIFS('Actual Food Log'!F:F, 'Actual Food Log'!A:A, A198), 0)</f>
        <v/>
      </c>
      <c r="F198" s="15">
        <f>IFERROR(SUMIFS('Actual Exercise Log'!E:E, 'Actual Exercise Log'!A:A, A198), 0)</f>
        <v/>
      </c>
      <c r="G198" s="15">
        <f>Setup!$B$18</f>
        <v/>
      </c>
      <c r="H198" s="15">
        <f>IF(D198&gt;0, G198 + F198, G198)</f>
        <v/>
      </c>
      <c r="I198" s="15">
        <f>IF(D198&gt;0, H198 - D198, 0)</f>
        <v/>
      </c>
      <c r="J198" s="15">
        <f>Setup!$B$20</f>
        <v/>
      </c>
      <c r="K198" s="15">
        <f>IF(D198&gt;0, D198 - J198, 0)</f>
        <v/>
      </c>
      <c r="L198" s="8" t="inlineStr">
        <is>
          <t>REST DAY</t>
        </is>
      </c>
      <c r="M198" s="7" t="inlineStr">
        <is>
          <t>Rest Day Honored ❤️</t>
        </is>
      </c>
      <c r="N198" s="8" t="inlineStr"/>
    </row>
    <row r="199" ht="24" customHeight="1">
      <c r="A199" s="7" t="inlineStr">
        <is>
          <t>2027-05-09</t>
        </is>
      </c>
      <c r="B199" s="7" t="n">
        <v>198</v>
      </c>
      <c r="C199" s="7" t="inlineStr">
        <is>
          <t>Sunday</t>
        </is>
      </c>
      <c r="D199" s="15">
        <f>IFERROR(SUMIFS('Actual Food Log'!E:E, 'Actual Food Log'!A:A, A199), 0)</f>
        <v/>
      </c>
      <c r="E199" s="16">
        <f>IFERROR(SUMIFS('Actual Food Log'!F:F, 'Actual Food Log'!A:A, A199), 0)</f>
        <v/>
      </c>
      <c r="F199" s="15">
        <f>IFERROR(SUMIFS('Actual Exercise Log'!E:E, 'Actual Exercise Log'!A:A, A199), 0)</f>
        <v/>
      </c>
      <c r="G199" s="15">
        <f>Setup!$B$18</f>
        <v/>
      </c>
      <c r="H199" s="15">
        <f>IF(D199&gt;0, G199 + F199, G199)</f>
        <v/>
      </c>
      <c r="I199" s="15">
        <f>IF(D199&gt;0, H199 - D199, 0)</f>
        <v/>
      </c>
      <c r="J199" s="15">
        <f>Setup!$B$20</f>
        <v/>
      </c>
      <c r="K199" s="15">
        <f>IF(D199&gt;0, D199 - J199, 0)</f>
        <v/>
      </c>
      <c r="L199" s="8" t="inlineStr">
        <is>
          <t>REST DAY</t>
        </is>
      </c>
      <c r="M199" s="7" t="inlineStr">
        <is>
          <t>Rest Day Honored ❤️</t>
        </is>
      </c>
      <c r="N199" s="8" t="inlineStr"/>
    </row>
    <row r="200" ht="24" customHeight="1">
      <c r="A200" s="10" t="inlineStr">
        <is>
          <t>2027-05-10</t>
        </is>
      </c>
      <c r="B200" s="10" t="n">
        <v>199</v>
      </c>
      <c r="C200" s="10" t="inlineStr">
        <is>
          <t>Monday</t>
        </is>
      </c>
      <c r="D200" s="17">
        <f>IFERROR(SUMIFS('Actual Food Log'!E:E, 'Actual Food Log'!A:A, A200), 0)</f>
        <v/>
      </c>
      <c r="E200" s="18">
        <f>IFERROR(SUMIFS('Actual Food Log'!F:F, 'Actual Food Log'!A:A, A200), 0)</f>
        <v/>
      </c>
      <c r="F200" s="17">
        <f>IFERROR(SUMIFS('Actual Exercise Log'!E:E, 'Actual Exercise Log'!A:A, A200), 0)</f>
        <v/>
      </c>
      <c r="G200" s="17">
        <f>Setup!$B$18</f>
        <v/>
      </c>
      <c r="H200" s="17">
        <f>IF(D200&gt;0, G200 + F200, G200)</f>
        <v/>
      </c>
      <c r="I200" s="17">
        <f>IF(D200&gt;0, H200 - D200, 0)</f>
        <v/>
      </c>
      <c r="J200" s="17">
        <f>Setup!$B$20</f>
        <v/>
      </c>
      <c r="K200" s="17">
        <f>IF(D200&gt;0, D200 - J200, 0)</f>
        <v/>
      </c>
      <c r="L200" s="11" t="inlineStr">
        <is>
          <t>25-Min Radiant Celebration Zumba Masterclass</t>
        </is>
      </c>
      <c r="M200" s="10" t="inlineStr">
        <is>
          <t>Pending</t>
        </is>
      </c>
      <c r="N200" s="11" t="inlineStr"/>
    </row>
    <row r="201" ht="24" customHeight="1">
      <c r="A201" s="10" t="inlineStr">
        <is>
          <t>2027-05-11</t>
        </is>
      </c>
      <c r="B201" s="10" t="n">
        <v>200</v>
      </c>
      <c r="C201" s="10" t="inlineStr">
        <is>
          <t>Tuesday</t>
        </is>
      </c>
      <c r="D201" s="17">
        <f>IFERROR(SUMIFS('Actual Food Log'!E:E, 'Actual Food Log'!A:A, A201), 0)</f>
        <v/>
      </c>
      <c r="E201" s="18">
        <f>IFERROR(SUMIFS('Actual Food Log'!F:F, 'Actual Food Log'!A:A, A201), 0)</f>
        <v/>
      </c>
      <c r="F201" s="17">
        <f>IFERROR(SUMIFS('Actual Exercise Log'!E:E, 'Actual Exercise Log'!A:A, A201), 0)</f>
        <v/>
      </c>
      <c r="G201" s="17">
        <f>Setup!$B$18</f>
        <v/>
      </c>
      <c r="H201" s="17">
        <f>IF(D201&gt;0, G201 + F201, G201)</f>
        <v/>
      </c>
      <c r="I201" s="17">
        <f>IF(D201&gt;0, H201 - D201, 0)</f>
        <v/>
      </c>
      <c r="J201" s="17">
        <f>Setup!$B$20</f>
        <v/>
      </c>
      <c r="K201" s="17">
        <f>IF(D201&gt;0, D201 - J201, 0)</f>
        <v/>
      </c>
      <c r="L201" s="11" t="inlineStr">
        <is>
          <t>20-Min Full Body Zumba Fiesta &amp; Core Tone</t>
        </is>
      </c>
      <c r="M201" s="10" t="inlineStr">
        <is>
          <t>Pending</t>
        </is>
      </c>
      <c r="N201" s="11" t="inlineStr"/>
    </row>
    <row r="202" ht="24" customHeight="1">
      <c r="A202" s="7" t="inlineStr">
        <is>
          <t>2027-05-12</t>
        </is>
      </c>
      <c r="B202" s="7" t="n">
        <v>201</v>
      </c>
      <c r="C202" s="7" t="inlineStr">
        <is>
          <t>Wednesday</t>
        </is>
      </c>
      <c r="D202" s="15">
        <f>IFERROR(SUMIFS('Actual Food Log'!E:E, 'Actual Food Log'!A:A, A202), 0)</f>
        <v/>
      </c>
      <c r="E202" s="16">
        <f>IFERROR(SUMIFS('Actual Food Log'!F:F, 'Actual Food Log'!A:A, A202), 0)</f>
        <v/>
      </c>
      <c r="F202" s="15">
        <f>IFERROR(SUMIFS('Actual Exercise Log'!E:E, 'Actual Exercise Log'!A:A, A202), 0)</f>
        <v/>
      </c>
      <c r="G202" s="15">
        <f>Setup!$B$18</f>
        <v/>
      </c>
      <c r="H202" s="15">
        <f>IF(D202&gt;0, G202 + F202, G202)</f>
        <v/>
      </c>
      <c r="I202" s="15">
        <f>IF(D202&gt;0, H202 - D202, 0)</f>
        <v/>
      </c>
      <c r="J202" s="15">
        <f>Setup!$B$20</f>
        <v/>
      </c>
      <c r="K202" s="15">
        <f>IF(D202&gt;0, D202 - J202, 0)</f>
        <v/>
      </c>
      <c r="L202" s="8" t="inlineStr">
        <is>
          <t>REST DAY</t>
        </is>
      </c>
      <c r="M202" s="7" t="inlineStr">
        <is>
          <t>Rest Day Honored ❤️</t>
        </is>
      </c>
      <c r="N202" s="8" t="inlineStr"/>
    </row>
    <row r="203" ht="24" customHeight="1">
      <c r="A203" s="10" t="inlineStr">
        <is>
          <t>2027-05-13</t>
        </is>
      </c>
      <c r="B203" s="10" t="n">
        <v>202</v>
      </c>
      <c r="C203" s="10" t="inlineStr">
        <is>
          <t>Thursday</t>
        </is>
      </c>
      <c r="D203" s="17">
        <f>IFERROR(SUMIFS('Actual Food Log'!E:E, 'Actual Food Log'!A:A, A203), 0)</f>
        <v/>
      </c>
      <c r="E203" s="18">
        <f>IFERROR(SUMIFS('Actual Food Log'!F:F, 'Actual Food Log'!A:A, A203), 0)</f>
        <v/>
      </c>
      <c r="F203" s="17">
        <f>IFERROR(SUMIFS('Actual Exercise Log'!E:E, 'Actual Exercise Log'!A:A, A203), 0)</f>
        <v/>
      </c>
      <c r="G203" s="17">
        <f>Setup!$B$18</f>
        <v/>
      </c>
      <c r="H203" s="17">
        <f>IF(D203&gt;0, G203 + F203, G203)</f>
        <v/>
      </c>
      <c r="I203" s="17">
        <f>IF(D203&gt;0, H203 - D203, 0)</f>
        <v/>
      </c>
      <c r="J203" s="17">
        <f>Setup!$B$20</f>
        <v/>
      </c>
      <c r="K203" s="17">
        <f>IF(D203&gt;0, D203 - J203, 0)</f>
        <v/>
      </c>
      <c r="L203" s="11" t="inlineStr">
        <is>
          <t>25-Min Radiant Celebration Zumba Masterclass</t>
        </is>
      </c>
      <c r="M203" s="10" t="inlineStr">
        <is>
          <t>Pending</t>
        </is>
      </c>
      <c r="N203" s="11" t="inlineStr"/>
    </row>
    <row r="204" ht="24" customHeight="1">
      <c r="A204" s="10" t="inlineStr">
        <is>
          <t>2027-05-14</t>
        </is>
      </c>
      <c r="B204" s="10" t="n">
        <v>203</v>
      </c>
      <c r="C204" s="10" t="inlineStr">
        <is>
          <t>Friday</t>
        </is>
      </c>
      <c r="D204" s="17">
        <f>IFERROR(SUMIFS('Actual Food Log'!E:E, 'Actual Food Log'!A:A, A204), 0)</f>
        <v/>
      </c>
      <c r="E204" s="18">
        <f>IFERROR(SUMIFS('Actual Food Log'!F:F, 'Actual Food Log'!A:A, A204), 0)</f>
        <v/>
      </c>
      <c r="F204" s="17">
        <f>IFERROR(SUMIFS('Actual Exercise Log'!E:E, 'Actual Exercise Log'!A:A, A204), 0)</f>
        <v/>
      </c>
      <c r="G204" s="17">
        <f>Setup!$B$18</f>
        <v/>
      </c>
      <c r="H204" s="17">
        <f>IF(D204&gt;0, G204 + F204, G204)</f>
        <v/>
      </c>
      <c r="I204" s="17">
        <f>IF(D204&gt;0, H204 - D204, 0)</f>
        <v/>
      </c>
      <c r="J204" s="17">
        <f>Setup!$B$20</f>
        <v/>
      </c>
      <c r="K204" s="17">
        <f>IF(D204&gt;0, D204 - J204, 0)</f>
        <v/>
      </c>
      <c r="L204" s="11" t="inlineStr">
        <is>
          <t>20-Min Full Body Zumba Fiesta &amp; Core Tone</t>
        </is>
      </c>
      <c r="M204" s="10" t="inlineStr">
        <is>
          <t>Pending</t>
        </is>
      </c>
      <c r="N204" s="11" t="inlineStr"/>
    </row>
    <row r="205" ht="24" customHeight="1">
      <c r="A205" s="7" t="inlineStr">
        <is>
          <t>2027-05-15</t>
        </is>
      </c>
      <c r="B205" s="7" t="n">
        <v>204</v>
      </c>
      <c r="C205" s="7" t="inlineStr">
        <is>
          <t>Saturday</t>
        </is>
      </c>
      <c r="D205" s="15">
        <f>IFERROR(SUMIFS('Actual Food Log'!E:E, 'Actual Food Log'!A:A, A205), 0)</f>
        <v/>
      </c>
      <c r="E205" s="16">
        <f>IFERROR(SUMIFS('Actual Food Log'!F:F, 'Actual Food Log'!A:A, A205), 0)</f>
        <v/>
      </c>
      <c r="F205" s="15">
        <f>IFERROR(SUMIFS('Actual Exercise Log'!E:E, 'Actual Exercise Log'!A:A, A205), 0)</f>
        <v/>
      </c>
      <c r="G205" s="15">
        <f>Setup!$B$18</f>
        <v/>
      </c>
      <c r="H205" s="15">
        <f>IF(D205&gt;0, G205 + F205, G205)</f>
        <v/>
      </c>
      <c r="I205" s="15">
        <f>IF(D205&gt;0, H205 - D205, 0)</f>
        <v/>
      </c>
      <c r="J205" s="15">
        <f>Setup!$B$20</f>
        <v/>
      </c>
      <c r="K205" s="15">
        <f>IF(D205&gt;0, D205 - J205, 0)</f>
        <v/>
      </c>
      <c r="L205" s="8" t="inlineStr">
        <is>
          <t>REST DAY</t>
        </is>
      </c>
      <c r="M205" s="7" t="inlineStr">
        <is>
          <t>Rest Day Honored ❤️</t>
        </is>
      </c>
      <c r="N205" s="8" t="inlineStr"/>
    </row>
    <row r="206" ht="24" customHeight="1">
      <c r="A206" s="7" t="inlineStr">
        <is>
          <t>2027-05-16</t>
        </is>
      </c>
      <c r="B206" s="7" t="n">
        <v>205</v>
      </c>
      <c r="C206" s="7" t="inlineStr">
        <is>
          <t>Sunday</t>
        </is>
      </c>
      <c r="D206" s="15">
        <f>IFERROR(SUMIFS('Actual Food Log'!E:E, 'Actual Food Log'!A:A, A206), 0)</f>
        <v/>
      </c>
      <c r="E206" s="16">
        <f>IFERROR(SUMIFS('Actual Food Log'!F:F, 'Actual Food Log'!A:A, A206), 0)</f>
        <v/>
      </c>
      <c r="F206" s="15">
        <f>IFERROR(SUMIFS('Actual Exercise Log'!E:E, 'Actual Exercise Log'!A:A, A206), 0)</f>
        <v/>
      </c>
      <c r="G206" s="15">
        <f>Setup!$B$18</f>
        <v/>
      </c>
      <c r="H206" s="15">
        <f>IF(D206&gt;0, G206 + F206, G206)</f>
        <v/>
      </c>
      <c r="I206" s="15">
        <f>IF(D206&gt;0, H206 - D206, 0)</f>
        <v/>
      </c>
      <c r="J206" s="15">
        <f>Setup!$B$20</f>
        <v/>
      </c>
      <c r="K206" s="15">
        <f>IF(D206&gt;0, D206 - J206, 0)</f>
        <v/>
      </c>
      <c r="L206" s="8" t="inlineStr">
        <is>
          <t>REST DAY</t>
        </is>
      </c>
      <c r="M206" s="7" t="inlineStr">
        <is>
          <t>Rest Day Honored ❤️</t>
        </is>
      </c>
      <c r="N206" s="8" t="inlineStr"/>
    </row>
    <row r="207" ht="24" customHeight="1">
      <c r="A207" s="10" t="inlineStr">
        <is>
          <t>2027-05-17</t>
        </is>
      </c>
      <c r="B207" s="10" t="n">
        <v>206</v>
      </c>
      <c r="C207" s="10" t="inlineStr">
        <is>
          <t>Monday</t>
        </is>
      </c>
      <c r="D207" s="17">
        <f>IFERROR(SUMIFS('Actual Food Log'!E:E, 'Actual Food Log'!A:A, A207), 0)</f>
        <v/>
      </c>
      <c r="E207" s="18">
        <f>IFERROR(SUMIFS('Actual Food Log'!F:F, 'Actual Food Log'!A:A, A207), 0)</f>
        <v/>
      </c>
      <c r="F207" s="17">
        <f>IFERROR(SUMIFS('Actual Exercise Log'!E:E, 'Actual Exercise Log'!A:A, A207), 0)</f>
        <v/>
      </c>
      <c r="G207" s="17">
        <f>Setup!$B$18</f>
        <v/>
      </c>
      <c r="H207" s="17">
        <f>IF(D207&gt;0, G207 + F207, G207)</f>
        <v/>
      </c>
      <c r="I207" s="17">
        <f>IF(D207&gt;0, H207 - D207, 0)</f>
        <v/>
      </c>
      <c r="J207" s="17">
        <f>Setup!$B$20</f>
        <v/>
      </c>
      <c r="K207" s="17">
        <f>IF(D207&gt;0, D207 - J207, 0)</f>
        <v/>
      </c>
      <c r="L207" s="11" t="inlineStr">
        <is>
          <t>25-Min Radiant Celebration Zumba Masterclass</t>
        </is>
      </c>
      <c r="M207" s="10" t="inlineStr">
        <is>
          <t>Pending</t>
        </is>
      </c>
      <c r="N207" s="11" t="inlineStr"/>
    </row>
    <row r="208" ht="24" customHeight="1">
      <c r="A208" s="10" t="inlineStr">
        <is>
          <t>2027-05-18</t>
        </is>
      </c>
      <c r="B208" s="10" t="n">
        <v>207</v>
      </c>
      <c r="C208" s="10" t="inlineStr">
        <is>
          <t>Tuesday</t>
        </is>
      </c>
      <c r="D208" s="17">
        <f>IFERROR(SUMIFS('Actual Food Log'!E:E, 'Actual Food Log'!A:A, A208), 0)</f>
        <v/>
      </c>
      <c r="E208" s="18">
        <f>IFERROR(SUMIFS('Actual Food Log'!F:F, 'Actual Food Log'!A:A, A208), 0)</f>
        <v/>
      </c>
      <c r="F208" s="17">
        <f>IFERROR(SUMIFS('Actual Exercise Log'!E:E, 'Actual Exercise Log'!A:A, A208), 0)</f>
        <v/>
      </c>
      <c r="G208" s="17">
        <f>Setup!$B$18</f>
        <v/>
      </c>
      <c r="H208" s="17">
        <f>IF(D208&gt;0, G208 + F208, G208)</f>
        <v/>
      </c>
      <c r="I208" s="17">
        <f>IF(D208&gt;0, H208 - D208, 0)</f>
        <v/>
      </c>
      <c r="J208" s="17">
        <f>Setup!$B$20</f>
        <v/>
      </c>
      <c r="K208" s="17">
        <f>IF(D208&gt;0, D208 - J208, 0)</f>
        <v/>
      </c>
      <c r="L208" s="11" t="inlineStr">
        <is>
          <t>20-Min Full Body Zumba Fiesta &amp; Core Tone</t>
        </is>
      </c>
      <c r="M208" s="10" t="inlineStr">
        <is>
          <t>Pending</t>
        </is>
      </c>
      <c r="N208" s="11" t="inlineStr"/>
    </row>
    <row r="209" ht="24" customHeight="1">
      <c r="A209" s="7" t="inlineStr">
        <is>
          <t>2027-05-19</t>
        </is>
      </c>
      <c r="B209" s="7" t="n">
        <v>208</v>
      </c>
      <c r="C209" s="7" t="inlineStr">
        <is>
          <t>Wednesday</t>
        </is>
      </c>
      <c r="D209" s="15">
        <f>IFERROR(SUMIFS('Actual Food Log'!E:E, 'Actual Food Log'!A:A, A209), 0)</f>
        <v/>
      </c>
      <c r="E209" s="16">
        <f>IFERROR(SUMIFS('Actual Food Log'!F:F, 'Actual Food Log'!A:A, A209), 0)</f>
        <v/>
      </c>
      <c r="F209" s="15">
        <f>IFERROR(SUMIFS('Actual Exercise Log'!E:E, 'Actual Exercise Log'!A:A, A209), 0)</f>
        <v/>
      </c>
      <c r="G209" s="15">
        <f>Setup!$B$18</f>
        <v/>
      </c>
      <c r="H209" s="15">
        <f>IF(D209&gt;0, G209 + F209, G209)</f>
        <v/>
      </c>
      <c r="I209" s="15">
        <f>IF(D209&gt;0, H209 - D209, 0)</f>
        <v/>
      </c>
      <c r="J209" s="15">
        <f>Setup!$B$20</f>
        <v/>
      </c>
      <c r="K209" s="15">
        <f>IF(D209&gt;0, D209 - J209, 0)</f>
        <v/>
      </c>
      <c r="L209" s="8" t="inlineStr">
        <is>
          <t>REST DAY</t>
        </is>
      </c>
      <c r="M209" s="7" t="inlineStr">
        <is>
          <t>Rest Day Honored ❤️</t>
        </is>
      </c>
      <c r="N209" s="8" t="inlineStr"/>
    </row>
    <row r="210" ht="24" customHeight="1">
      <c r="A210" s="10" t="inlineStr">
        <is>
          <t>2027-05-20</t>
        </is>
      </c>
      <c r="B210" s="10" t="n">
        <v>209</v>
      </c>
      <c r="C210" s="10" t="inlineStr">
        <is>
          <t>Thursday</t>
        </is>
      </c>
      <c r="D210" s="17">
        <f>IFERROR(SUMIFS('Actual Food Log'!E:E, 'Actual Food Log'!A:A, A210), 0)</f>
        <v/>
      </c>
      <c r="E210" s="18">
        <f>IFERROR(SUMIFS('Actual Food Log'!F:F, 'Actual Food Log'!A:A, A210), 0)</f>
        <v/>
      </c>
      <c r="F210" s="17">
        <f>IFERROR(SUMIFS('Actual Exercise Log'!E:E, 'Actual Exercise Log'!A:A, A210), 0)</f>
        <v/>
      </c>
      <c r="G210" s="17">
        <f>Setup!$B$18</f>
        <v/>
      </c>
      <c r="H210" s="17">
        <f>IF(D210&gt;0, G210 + F210, G210)</f>
        <v/>
      </c>
      <c r="I210" s="17">
        <f>IF(D210&gt;0, H210 - D210, 0)</f>
        <v/>
      </c>
      <c r="J210" s="17">
        <f>Setup!$B$20</f>
        <v/>
      </c>
      <c r="K210" s="17">
        <f>IF(D210&gt;0, D210 - J210, 0)</f>
        <v/>
      </c>
      <c r="L210" s="11" t="inlineStr">
        <is>
          <t>25-Min Radiant Celebration Zumba Masterclass</t>
        </is>
      </c>
      <c r="M210" s="10" t="inlineStr">
        <is>
          <t>Pending</t>
        </is>
      </c>
      <c r="N210" s="11" t="inlineStr"/>
    </row>
    <row r="211" ht="24" customHeight="1">
      <c r="A211" s="10" t="inlineStr">
        <is>
          <t>2027-05-21</t>
        </is>
      </c>
      <c r="B211" s="10" t="n">
        <v>210</v>
      </c>
      <c r="C211" s="10" t="inlineStr">
        <is>
          <t>Friday</t>
        </is>
      </c>
      <c r="D211" s="17">
        <f>IFERROR(SUMIFS('Actual Food Log'!E:E, 'Actual Food Log'!A:A, A211), 0)</f>
        <v/>
      </c>
      <c r="E211" s="18">
        <f>IFERROR(SUMIFS('Actual Food Log'!F:F, 'Actual Food Log'!A:A, A211), 0)</f>
        <v/>
      </c>
      <c r="F211" s="17">
        <f>IFERROR(SUMIFS('Actual Exercise Log'!E:E, 'Actual Exercise Log'!A:A, A211), 0)</f>
        <v/>
      </c>
      <c r="G211" s="17">
        <f>Setup!$B$18</f>
        <v/>
      </c>
      <c r="H211" s="17">
        <f>IF(D211&gt;0, G211 + F211, G211)</f>
        <v/>
      </c>
      <c r="I211" s="17">
        <f>IF(D211&gt;0, H211 - D211, 0)</f>
        <v/>
      </c>
      <c r="J211" s="17">
        <f>Setup!$B$20</f>
        <v/>
      </c>
      <c r="K211" s="17">
        <f>IF(D211&gt;0, D211 - J211, 0)</f>
        <v/>
      </c>
      <c r="L211" s="11" t="inlineStr">
        <is>
          <t>20-Min Full Body Zumba Fiesta &amp; Core Tone</t>
        </is>
      </c>
      <c r="M211" s="10" t="inlineStr">
        <is>
          <t>Pending</t>
        </is>
      </c>
      <c r="N211" s="11" t="inlineStr"/>
    </row>
    <row r="212" ht="24" customHeight="1">
      <c r="A212" s="7" t="inlineStr">
        <is>
          <t>2027-05-22</t>
        </is>
      </c>
      <c r="B212" s="7" t="n">
        <v>211</v>
      </c>
      <c r="C212" s="7" t="inlineStr">
        <is>
          <t>Saturday</t>
        </is>
      </c>
      <c r="D212" s="15">
        <f>IFERROR(SUMIFS('Actual Food Log'!E:E, 'Actual Food Log'!A:A, A212), 0)</f>
        <v/>
      </c>
      <c r="E212" s="16">
        <f>IFERROR(SUMIFS('Actual Food Log'!F:F, 'Actual Food Log'!A:A, A212), 0)</f>
        <v/>
      </c>
      <c r="F212" s="15">
        <f>IFERROR(SUMIFS('Actual Exercise Log'!E:E, 'Actual Exercise Log'!A:A, A212), 0)</f>
        <v/>
      </c>
      <c r="G212" s="15">
        <f>Setup!$B$18</f>
        <v/>
      </c>
      <c r="H212" s="15">
        <f>IF(D212&gt;0, G212 + F212, G212)</f>
        <v/>
      </c>
      <c r="I212" s="15">
        <f>IF(D212&gt;0, H212 - D212, 0)</f>
        <v/>
      </c>
      <c r="J212" s="15">
        <f>Setup!$B$20</f>
        <v/>
      </c>
      <c r="K212" s="15">
        <f>IF(D212&gt;0, D212 - J212, 0)</f>
        <v/>
      </c>
      <c r="L212" s="8" t="inlineStr">
        <is>
          <t>REST DAY</t>
        </is>
      </c>
      <c r="M212" s="7" t="inlineStr">
        <is>
          <t>Rest Day Honored ❤️</t>
        </is>
      </c>
      <c r="N212" s="8" t="inlineStr"/>
    </row>
    <row r="213" ht="24" customHeight="1">
      <c r="A213" s="7" t="inlineStr">
        <is>
          <t>2027-05-23</t>
        </is>
      </c>
      <c r="B213" s="7" t="n">
        <v>212</v>
      </c>
      <c r="C213" s="7" t="inlineStr">
        <is>
          <t>Sunday</t>
        </is>
      </c>
      <c r="D213" s="15">
        <f>IFERROR(SUMIFS('Actual Food Log'!E:E, 'Actual Food Log'!A:A, A213), 0)</f>
        <v/>
      </c>
      <c r="E213" s="16">
        <f>IFERROR(SUMIFS('Actual Food Log'!F:F, 'Actual Food Log'!A:A, A213), 0)</f>
        <v/>
      </c>
      <c r="F213" s="15">
        <f>IFERROR(SUMIFS('Actual Exercise Log'!E:E, 'Actual Exercise Log'!A:A, A213), 0)</f>
        <v/>
      </c>
      <c r="G213" s="15">
        <f>Setup!$B$18</f>
        <v/>
      </c>
      <c r="H213" s="15">
        <f>IF(D213&gt;0, G213 + F213, G213)</f>
        <v/>
      </c>
      <c r="I213" s="15">
        <f>IF(D213&gt;0, H213 - D213, 0)</f>
        <v/>
      </c>
      <c r="J213" s="15">
        <f>Setup!$B$20</f>
        <v/>
      </c>
      <c r="K213" s="15">
        <f>IF(D213&gt;0, D213 - J213, 0)</f>
        <v/>
      </c>
      <c r="L213" s="8" t="inlineStr">
        <is>
          <t>REST DAY</t>
        </is>
      </c>
      <c r="M213" s="7" t="inlineStr">
        <is>
          <t>Rest Day Honored ❤️</t>
        </is>
      </c>
      <c r="N213" s="8" t="inlineStr"/>
    </row>
    <row r="214" ht="24" customHeight="1">
      <c r="A214" s="10" t="inlineStr">
        <is>
          <t>2027-05-24</t>
        </is>
      </c>
      <c r="B214" s="10" t="n">
        <v>213</v>
      </c>
      <c r="C214" s="10" t="inlineStr">
        <is>
          <t>Monday</t>
        </is>
      </c>
      <c r="D214" s="17">
        <f>IFERROR(SUMIFS('Actual Food Log'!E:E, 'Actual Food Log'!A:A, A214), 0)</f>
        <v/>
      </c>
      <c r="E214" s="18">
        <f>IFERROR(SUMIFS('Actual Food Log'!F:F, 'Actual Food Log'!A:A, A214), 0)</f>
        <v/>
      </c>
      <c r="F214" s="17">
        <f>IFERROR(SUMIFS('Actual Exercise Log'!E:E, 'Actual Exercise Log'!A:A, A214), 0)</f>
        <v/>
      </c>
      <c r="G214" s="17">
        <f>Setup!$B$18</f>
        <v/>
      </c>
      <c r="H214" s="17">
        <f>IF(D214&gt;0, G214 + F214, G214)</f>
        <v/>
      </c>
      <c r="I214" s="17">
        <f>IF(D214&gt;0, H214 - D214, 0)</f>
        <v/>
      </c>
      <c r="J214" s="17">
        <f>Setup!$B$20</f>
        <v/>
      </c>
      <c r="K214" s="17">
        <f>IF(D214&gt;0, D214 - J214, 0)</f>
        <v/>
      </c>
      <c r="L214" s="11" t="inlineStr">
        <is>
          <t>25-Min Radiant Celebration Zumba Masterclass</t>
        </is>
      </c>
      <c r="M214" s="10" t="inlineStr">
        <is>
          <t>Pending</t>
        </is>
      </c>
      <c r="N214" s="11" t="inlineStr"/>
    </row>
    <row r="215" ht="24" customHeight="1">
      <c r="A215" s="10" t="inlineStr">
        <is>
          <t>2027-05-25</t>
        </is>
      </c>
      <c r="B215" s="10" t="n">
        <v>214</v>
      </c>
      <c r="C215" s="10" t="inlineStr">
        <is>
          <t>Tuesday</t>
        </is>
      </c>
      <c r="D215" s="17">
        <f>IFERROR(SUMIFS('Actual Food Log'!E:E, 'Actual Food Log'!A:A, A215), 0)</f>
        <v/>
      </c>
      <c r="E215" s="18">
        <f>IFERROR(SUMIFS('Actual Food Log'!F:F, 'Actual Food Log'!A:A, A215), 0)</f>
        <v/>
      </c>
      <c r="F215" s="17">
        <f>IFERROR(SUMIFS('Actual Exercise Log'!E:E, 'Actual Exercise Log'!A:A, A215), 0)</f>
        <v/>
      </c>
      <c r="G215" s="17">
        <f>Setup!$B$18</f>
        <v/>
      </c>
      <c r="H215" s="17">
        <f>IF(D215&gt;0, G215 + F215, G215)</f>
        <v/>
      </c>
      <c r="I215" s="17">
        <f>IF(D215&gt;0, H215 - D215, 0)</f>
        <v/>
      </c>
      <c r="J215" s="17">
        <f>Setup!$B$20</f>
        <v/>
      </c>
      <c r="K215" s="17">
        <f>IF(D215&gt;0, D215 - J215, 0)</f>
        <v/>
      </c>
      <c r="L215" s="11" t="inlineStr">
        <is>
          <t>20-Min Full Body Zumba Fiesta &amp; Core Tone</t>
        </is>
      </c>
      <c r="M215" s="10" t="inlineStr">
        <is>
          <t>Pending</t>
        </is>
      </c>
      <c r="N215" s="11" t="inlineStr"/>
    </row>
    <row r="216" ht="24" customHeight="1">
      <c r="A216" s="7" t="inlineStr">
        <is>
          <t>2027-05-26</t>
        </is>
      </c>
      <c r="B216" s="7" t="n">
        <v>215</v>
      </c>
      <c r="C216" s="7" t="inlineStr">
        <is>
          <t>Wednesday</t>
        </is>
      </c>
      <c r="D216" s="15">
        <f>IFERROR(SUMIFS('Actual Food Log'!E:E, 'Actual Food Log'!A:A, A216), 0)</f>
        <v/>
      </c>
      <c r="E216" s="16">
        <f>IFERROR(SUMIFS('Actual Food Log'!F:F, 'Actual Food Log'!A:A, A216), 0)</f>
        <v/>
      </c>
      <c r="F216" s="15">
        <f>IFERROR(SUMIFS('Actual Exercise Log'!E:E, 'Actual Exercise Log'!A:A, A216), 0)</f>
        <v/>
      </c>
      <c r="G216" s="15">
        <f>Setup!$B$18</f>
        <v/>
      </c>
      <c r="H216" s="15">
        <f>IF(D216&gt;0, G216 + F216, G216)</f>
        <v/>
      </c>
      <c r="I216" s="15">
        <f>IF(D216&gt;0, H216 - D216, 0)</f>
        <v/>
      </c>
      <c r="J216" s="15">
        <f>Setup!$B$20</f>
        <v/>
      </c>
      <c r="K216" s="15">
        <f>IF(D216&gt;0, D216 - J216, 0)</f>
        <v/>
      </c>
      <c r="L216" s="8" t="inlineStr">
        <is>
          <t>REST DAY</t>
        </is>
      </c>
      <c r="M216" s="7" t="inlineStr">
        <is>
          <t>Rest Day Honored ❤️</t>
        </is>
      </c>
      <c r="N216" s="8" t="inlineStr"/>
    </row>
    <row r="217" ht="24" customHeight="1">
      <c r="A217" s="10" t="inlineStr">
        <is>
          <t>2027-05-27</t>
        </is>
      </c>
      <c r="B217" s="10" t="n">
        <v>216</v>
      </c>
      <c r="C217" s="10" t="inlineStr">
        <is>
          <t>Thursday</t>
        </is>
      </c>
      <c r="D217" s="17">
        <f>IFERROR(SUMIFS('Actual Food Log'!E:E, 'Actual Food Log'!A:A, A217), 0)</f>
        <v/>
      </c>
      <c r="E217" s="18">
        <f>IFERROR(SUMIFS('Actual Food Log'!F:F, 'Actual Food Log'!A:A, A217), 0)</f>
        <v/>
      </c>
      <c r="F217" s="17">
        <f>IFERROR(SUMIFS('Actual Exercise Log'!E:E, 'Actual Exercise Log'!A:A, A217), 0)</f>
        <v/>
      </c>
      <c r="G217" s="17">
        <f>Setup!$B$18</f>
        <v/>
      </c>
      <c r="H217" s="17">
        <f>IF(D217&gt;0, G217 + F217, G217)</f>
        <v/>
      </c>
      <c r="I217" s="17">
        <f>IF(D217&gt;0, H217 - D217, 0)</f>
        <v/>
      </c>
      <c r="J217" s="17">
        <f>Setup!$B$20</f>
        <v/>
      </c>
      <c r="K217" s="17">
        <f>IF(D217&gt;0, D217 - J217, 0)</f>
        <v/>
      </c>
      <c r="L217" s="11" t="inlineStr">
        <is>
          <t>25-Min Radiant Celebration Zumba Masterclass</t>
        </is>
      </c>
      <c r="M217" s="10" t="inlineStr">
        <is>
          <t>Pending</t>
        </is>
      </c>
      <c r="N217" s="11" t="inlineStr"/>
    </row>
    <row r="218" ht="24" customHeight="1">
      <c r="A218" s="10" t="inlineStr">
        <is>
          <t>2027-05-28</t>
        </is>
      </c>
      <c r="B218" s="10" t="n">
        <v>217</v>
      </c>
      <c r="C218" s="10" t="inlineStr">
        <is>
          <t>Friday</t>
        </is>
      </c>
      <c r="D218" s="17">
        <f>IFERROR(SUMIFS('Actual Food Log'!E:E, 'Actual Food Log'!A:A, A218), 0)</f>
        <v/>
      </c>
      <c r="E218" s="18">
        <f>IFERROR(SUMIFS('Actual Food Log'!F:F, 'Actual Food Log'!A:A, A218), 0)</f>
        <v/>
      </c>
      <c r="F218" s="17">
        <f>IFERROR(SUMIFS('Actual Exercise Log'!E:E, 'Actual Exercise Log'!A:A, A218), 0)</f>
        <v/>
      </c>
      <c r="G218" s="17">
        <f>Setup!$B$18</f>
        <v/>
      </c>
      <c r="H218" s="17">
        <f>IF(D218&gt;0, G218 + F218, G218)</f>
        <v/>
      </c>
      <c r="I218" s="17">
        <f>IF(D218&gt;0, H218 - D218, 0)</f>
        <v/>
      </c>
      <c r="J218" s="17">
        <f>Setup!$B$20</f>
        <v/>
      </c>
      <c r="K218" s="17">
        <f>IF(D218&gt;0, D218 - J218, 0)</f>
        <v/>
      </c>
      <c r="L218" s="11" t="inlineStr">
        <is>
          <t>20-Min Full Body Zumba Fiesta &amp; Core Tone</t>
        </is>
      </c>
      <c r="M218" s="10" t="inlineStr">
        <is>
          <t>Pending</t>
        </is>
      </c>
      <c r="N218" s="11" t="inlineStr"/>
    </row>
    <row r="219" ht="24" customHeight="1">
      <c r="A219" s="7" t="inlineStr">
        <is>
          <t>2027-05-29</t>
        </is>
      </c>
      <c r="B219" s="7" t="n">
        <v>218</v>
      </c>
      <c r="C219" s="7" t="inlineStr">
        <is>
          <t>Saturday</t>
        </is>
      </c>
      <c r="D219" s="15">
        <f>IFERROR(SUMIFS('Actual Food Log'!E:E, 'Actual Food Log'!A:A, A219), 0)</f>
        <v/>
      </c>
      <c r="E219" s="16">
        <f>IFERROR(SUMIFS('Actual Food Log'!F:F, 'Actual Food Log'!A:A, A219), 0)</f>
        <v/>
      </c>
      <c r="F219" s="15">
        <f>IFERROR(SUMIFS('Actual Exercise Log'!E:E, 'Actual Exercise Log'!A:A, A219), 0)</f>
        <v/>
      </c>
      <c r="G219" s="15">
        <f>Setup!$B$18</f>
        <v/>
      </c>
      <c r="H219" s="15">
        <f>IF(D219&gt;0, G219 + F219, G219)</f>
        <v/>
      </c>
      <c r="I219" s="15">
        <f>IF(D219&gt;0, H219 - D219, 0)</f>
        <v/>
      </c>
      <c r="J219" s="15">
        <f>Setup!$B$20</f>
        <v/>
      </c>
      <c r="K219" s="15">
        <f>IF(D219&gt;0, D219 - J219, 0)</f>
        <v/>
      </c>
      <c r="L219" s="8" t="inlineStr">
        <is>
          <t>REST DAY</t>
        </is>
      </c>
      <c r="M219" s="7" t="inlineStr">
        <is>
          <t>Rest Day Honored ❤️</t>
        </is>
      </c>
      <c r="N219" s="8" t="inlineStr"/>
    </row>
    <row r="220" ht="24" customHeight="1">
      <c r="A220" s="7" t="inlineStr">
        <is>
          <t>2027-05-30</t>
        </is>
      </c>
      <c r="B220" s="7" t="n">
        <v>219</v>
      </c>
      <c r="C220" s="7" t="inlineStr">
        <is>
          <t>Sunday</t>
        </is>
      </c>
      <c r="D220" s="15">
        <f>IFERROR(SUMIFS('Actual Food Log'!E:E, 'Actual Food Log'!A:A, A220), 0)</f>
        <v/>
      </c>
      <c r="E220" s="16">
        <f>IFERROR(SUMIFS('Actual Food Log'!F:F, 'Actual Food Log'!A:A, A220), 0)</f>
        <v/>
      </c>
      <c r="F220" s="15">
        <f>IFERROR(SUMIFS('Actual Exercise Log'!E:E, 'Actual Exercise Log'!A:A, A220), 0)</f>
        <v/>
      </c>
      <c r="G220" s="15">
        <f>Setup!$B$18</f>
        <v/>
      </c>
      <c r="H220" s="15">
        <f>IF(D220&gt;0, G220 + F220, G220)</f>
        <v/>
      </c>
      <c r="I220" s="15">
        <f>IF(D220&gt;0, H220 - D220, 0)</f>
        <v/>
      </c>
      <c r="J220" s="15">
        <f>Setup!$B$20</f>
        <v/>
      </c>
      <c r="K220" s="15">
        <f>IF(D220&gt;0, D220 - J220, 0)</f>
        <v/>
      </c>
      <c r="L220" s="8" t="inlineStr">
        <is>
          <t>REST DAY</t>
        </is>
      </c>
      <c r="M220" s="7" t="inlineStr">
        <is>
          <t>Rest Day Honored ❤️</t>
        </is>
      </c>
      <c r="N220" s="8" t="inlineStr"/>
    </row>
    <row r="221" ht="24" customHeight="1">
      <c r="A221" s="10" t="inlineStr">
        <is>
          <t>2027-05-31</t>
        </is>
      </c>
      <c r="B221" s="10" t="n">
        <v>220</v>
      </c>
      <c r="C221" s="10" t="inlineStr">
        <is>
          <t>Monday</t>
        </is>
      </c>
      <c r="D221" s="17">
        <f>IFERROR(SUMIFS('Actual Food Log'!E:E, 'Actual Food Log'!A:A, A221), 0)</f>
        <v/>
      </c>
      <c r="E221" s="18">
        <f>IFERROR(SUMIFS('Actual Food Log'!F:F, 'Actual Food Log'!A:A, A221), 0)</f>
        <v/>
      </c>
      <c r="F221" s="17">
        <f>IFERROR(SUMIFS('Actual Exercise Log'!E:E, 'Actual Exercise Log'!A:A, A221), 0)</f>
        <v/>
      </c>
      <c r="G221" s="17">
        <f>Setup!$B$18</f>
        <v/>
      </c>
      <c r="H221" s="17">
        <f>IF(D221&gt;0, G221 + F221, G221)</f>
        <v/>
      </c>
      <c r="I221" s="17">
        <f>IF(D221&gt;0, H221 - D221, 0)</f>
        <v/>
      </c>
      <c r="J221" s="17">
        <f>Setup!$B$20</f>
        <v/>
      </c>
      <c r="K221" s="17">
        <f>IF(D221&gt;0, D221 - J221, 0)</f>
        <v/>
      </c>
      <c r="L221" s="11" t="inlineStr">
        <is>
          <t>25-Min Radiant Celebration Zumba Masterclass</t>
        </is>
      </c>
      <c r="M221" s="10" t="inlineStr">
        <is>
          <t>Pending</t>
        </is>
      </c>
      <c r="N221" s="11" t="inlineStr"/>
    </row>
    <row r="222" ht="24" customHeight="1">
      <c r="A222" s="10" t="inlineStr">
        <is>
          <t>2027-06-01</t>
        </is>
      </c>
      <c r="B222" s="10" t="n">
        <v>221</v>
      </c>
      <c r="C222" s="10" t="inlineStr">
        <is>
          <t>Tuesday</t>
        </is>
      </c>
      <c r="D222" s="17">
        <f>IFERROR(SUMIFS('Actual Food Log'!E:E, 'Actual Food Log'!A:A, A222), 0)</f>
        <v/>
      </c>
      <c r="E222" s="18">
        <f>IFERROR(SUMIFS('Actual Food Log'!F:F, 'Actual Food Log'!A:A, A222), 0)</f>
        <v/>
      </c>
      <c r="F222" s="17">
        <f>IFERROR(SUMIFS('Actual Exercise Log'!E:E, 'Actual Exercise Log'!A:A, A222), 0)</f>
        <v/>
      </c>
      <c r="G222" s="17">
        <f>Setup!$B$18</f>
        <v/>
      </c>
      <c r="H222" s="17">
        <f>IF(D222&gt;0, G222 + F222, G222)</f>
        <v/>
      </c>
      <c r="I222" s="17">
        <f>IF(D222&gt;0, H222 - D222, 0)</f>
        <v/>
      </c>
      <c r="J222" s="17">
        <f>Setup!$B$20</f>
        <v/>
      </c>
      <c r="K222" s="17">
        <f>IF(D222&gt;0, D222 - J222, 0)</f>
        <v/>
      </c>
      <c r="L222" s="11" t="inlineStr">
        <is>
          <t>20-Min Full Body Zumba Fiesta &amp; Core Tone</t>
        </is>
      </c>
      <c r="M222" s="10" t="inlineStr">
        <is>
          <t>Pending</t>
        </is>
      </c>
      <c r="N222" s="11" t="inlineStr"/>
    </row>
    <row r="223" ht="24" customHeight="1">
      <c r="A223" s="7" t="inlineStr">
        <is>
          <t>2027-06-02</t>
        </is>
      </c>
      <c r="B223" s="7" t="n">
        <v>222</v>
      </c>
      <c r="C223" s="7" t="inlineStr">
        <is>
          <t>Wednesday</t>
        </is>
      </c>
      <c r="D223" s="15">
        <f>IFERROR(SUMIFS('Actual Food Log'!E:E, 'Actual Food Log'!A:A, A223), 0)</f>
        <v/>
      </c>
      <c r="E223" s="16">
        <f>IFERROR(SUMIFS('Actual Food Log'!F:F, 'Actual Food Log'!A:A, A223), 0)</f>
        <v/>
      </c>
      <c r="F223" s="15">
        <f>IFERROR(SUMIFS('Actual Exercise Log'!E:E, 'Actual Exercise Log'!A:A, A223), 0)</f>
        <v/>
      </c>
      <c r="G223" s="15">
        <f>Setup!$B$18</f>
        <v/>
      </c>
      <c r="H223" s="15">
        <f>IF(D223&gt;0, G223 + F223, G223)</f>
        <v/>
      </c>
      <c r="I223" s="15">
        <f>IF(D223&gt;0, H223 - D223, 0)</f>
        <v/>
      </c>
      <c r="J223" s="15">
        <f>Setup!$B$20</f>
        <v/>
      </c>
      <c r="K223" s="15">
        <f>IF(D223&gt;0, D223 - J223, 0)</f>
        <v/>
      </c>
      <c r="L223" s="8" t="inlineStr">
        <is>
          <t>REST DAY</t>
        </is>
      </c>
      <c r="M223" s="7" t="inlineStr">
        <is>
          <t>Rest Day Honored ❤️</t>
        </is>
      </c>
      <c r="N223" s="8" t="inlineStr"/>
    </row>
    <row r="224" ht="24" customHeight="1">
      <c r="A224" s="10" t="inlineStr">
        <is>
          <t>2027-06-03</t>
        </is>
      </c>
      <c r="B224" s="10" t="n">
        <v>223</v>
      </c>
      <c r="C224" s="10" t="inlineStr">
        <is>
          <t>Thursday</t>
        </is>
      </c>
      <c r="D224" s="17">
        <f>IFERROR(SUMIFS('Actual Food Log'!E:E, 'Actual Food Log'!A:A, A224), 0)</f>
        <v/>
      </c>
      <c r="E224" s="18">
        <f>IFERROR(SUMIFS('Actual Food Log'!F:F, 'Actual Food Log'!A:A, A224), 0)</f>
        <v/>
      </c>
      <c r="F224" s="17">
        <f>IFERROR(SUMIFS('Actual Exercise Log'!E:E, 'Actual Exercise Log'!A:A, A224), 0)</f>
        <v/>
      </c>
      <c r="G224" s="17">
        <f>Setup!$B$18</f>
        <v/>
      </c>
      <c r="H224" s="17">
        <f>IF(D224&gt;0, G224 + F224, G224)</f>
        <v/>
      </c>
      <c r="I224" s="17">
        <f>IF(D224&gt;0, H224 - D224, 0)</f>
        <v/>
      </c>
      <c r="J224" s="17">
        <f>Setup!$B$20</f>
        <v/>
      </c>
      <c r="K224" s="17">
        <f>IF(D224&gt;0, D224 - J224, 0)</f>
        <v/>
      </c>
      <c r="L224" s="11" t="inlineStr">
        <is>
          <t>25-Min Radiant Celebration Zumba Masterclass</t>
        </is>
      </c>
      <c r="M224" s="10" t="inlineStr">
        <is>
          <t>Pending</t>
        </is>
      </c>
      <c r="N224" s="11" t="inlineStr"/>
    </row>
    <row r="225" ht="24" customHeight="1">
      <c r="A225" s="10" t="inlineStr">
        <is>
          <t>2027-06-04</t>
        </is>
      </c>
      <c r="B225" s="10" t="n">
        <v>224</v>
      </c>
      <c r="C225" s="10" t="inlineStr">
        <is>
          <t>Friday</t>
        </is>
      </c>
      <c r="D225" s="17">
        <f>IFERROR(SUMIFS('Actual Food Log'!E:E, 'Actual Food Log'!A:A, A225), 0)</f>
        <v/>
      </c>
      <c r="E225" s="18">
        <f>IFERROR(SUMIFS('Actual Food Log'!F:F, 'Actual Food Log'!A:A, A225), 0)</f>
        <v/>
      </c>
      <c r="F225" s="17">
        <f>IFERROR(SUMIFS('Actual Exercise Log'!E:E, 'Actual Exercise Log'!A:A, A225), 0)</f>
        <v/>
      </c>
      <c r="G225" s="17">
        <f>Setup!$B$18</f>
        <v/>
      </c>
      <c r="H225" s="17">
        <f>IF(D225&gt;0, G225 + F225, G225)</f>
        <v/>
      </c>
      <c r="I225" s="17">
        <f>IF(D225&gt;0, H225 - D225, 0)</f>
        <v/>
      </c>
      <c r="J225" s="17">
        <f>Setup!$B$20</f>
        <v/>
      </c>
      <c r="K225" s="17">
        <f>IF(D225&gt;0, D225 - J225, 0)</f>
        <v/>
      </c>
      <c r="L225" s="11" t="inlineStr">
        <is>
          <t>20-Min Full Body Zumba Fiesta &amp; Core Tone</t>
        </is>
      </c>
      <c r="M225" s="10" t="inlineStr">
        <is>
          <t>Pending</t>
        </is>
      </c>
      <c r="N225" s="11" t="inlineStr"/>
    </row>
    <row r="226" ht="24" customHeight="1">
      <c r="A226" s="7" t="inlineStr">
        <is>
          <t>2027-06-05</t>
        </is>
      </c>
      <c r="B226" s="7" t="n">
        <v>225</v>
      </c>
      <c r="C226" s="7" t="inlineStr">
        <is>
          <t>Saturday</t>
        </is>
      </c>
      <c r="D226" s="15">
        <f>IFERROR(SUMIFS('Actual Food Log'!E:E, 'Actual Food Log'!A:A, A226), 0)</f>
        <v/>
      </c>
      <c r="E226" s="16">
        <f>IFERROR(SUMIFS('Actual Food Log'!F:F, 'Actual Food Log'!A:A, A226), 0)</f>
        <v/>
      </c>
      <c r="F226" s="15">
        <f>IFERROR(SUMIFS('Actual Exercise Log'!E:E, 'Actual Exercise Log'!A:A, A226), 0)</f>
        <v/>
      </c>
      <c r="G226" s="15">
        <f>Setup!$B$18</f>
        <v/>
      </c>
      <c r="H226" s="15">
        <f>IF(D226&gt;0, G226 + F226, G226)</f>
        <v/>
      </c>
      <c r="I226" s="15">
        <f>IF(D226&gt;0, H226 - D226, 0)</f>
        <v/>
      </c>
      <c r="J226" s="15">
        <f>Setup!$B$20</f>
        <v/>
      </c>
      <c r="K226" s="15">
        <f>IF(D226&gt;0, D226 - J226, 0)</f>
        <v/>
      </c>
      <c r="L226" s="8" t="inlineStr">
        <is>
          <t>REST DAY</t>
        </is>
      </c>
      <c r="M226" s="7" t="inlineStr">
        <is>
          <t>Rest Day Honored ❤️</t>
        </is>
      </c>
      <c r="N226" s="8" t="inlineStr"/>
    </row>
    <row r="227" ht="24" customHeight="1">
      <c r="A227" s="7" t="inlineStr">
        <is>
          <t>2027-06-06</t>
        </is>
      </c>
      <c r="B227" s="7" t="n">
        <v>226</v>
      </c>
      <c r="C227" s="7" t="inlineStr">
        <is>
          <t>Sunday</t>
        </is>
      </c>
      <c r="D227" s="15">
        <f>IFERROR(SUMIFS('Actual Food Log'!E:E, 'Actual Food Log'!A:A, A227), 0)</f>
        <v/>
      </c>
      <c r="E227" s="16">
        <f>IFERROR(SUMIFS('Actual Food Log'!F:F, 'Actual Food Log'!A:A, A227), 0)</f>
        <v/>
      </c>
      <c r="F227" s="15">
        <f>IFERROR(SUMIFS('Actual Exercise Log'!E:E, 'Actual Exercise Log'!A:A, A227), 0)</f>
        <v/>
      </c>
      <c r="G227" s="15">
        <f>Setup!$B$18</f>
        <v/>
      </c>
      <c r="H227" s="15">
        <f>IF(D227&gt;0, G227 + F227, G227)</f>
        <v/>
      </c>
      <c r="I227" s="15">
        <f>IF(D227&gt;0, H227 - D227, 0)</f>
        <v/>
      </c>
      <c r="J227" s="15">
        <f>Setup!$B$20</f>
        <v/>
      </c>
      <c r="K227" s="15">
        <f>IF(D227&gt;0, D227 - J227, 0)</f>
        <v/>
      </c>
      <c r="L227" s="8" t="inlineStr">
        <is>
          <t>REST DAY</t>
        </is>
      </c>
      <c r="M227" s="7" t="inlineStr">
        <is>
          <t>Rest Day Honored ❤️</t>
        </is>
      </c>
      <c r="N227" s="8" t="inlineStr"/>
    </row>
    <row r="228" ht="24" customHeight="1">
      <c r="A228" s="10" t="inlineStr">
        <is>
          <t>2027-06-07</t>
        </is>
      </c>
      <c r="B228" s="10" t="n">
        <v>227</v>
      </c>
      <c r="C228" s="10" t="inlineStr">
        <is>
          <t>Monday</t>
        </is>
      </c>
      <c r="D228" s="17">
        <f>IFERROR(SUMIFS('Actual Food Log'!E:E, 'Actual Food Log'!A:A, A228), 0)</f>
        <v/>
      </c>
      <c r="E228" s="18">
        <f>IFERROR(SUMIFS('Actual Food Log'!F:F, 'Actual Food Log'!A:A, A228), 0)</f>
        <v/>
      </c>
      <c r="F228" s="17">
        <f>IFERROR(SUMIFS('Actual Exercise Log'!E:E, 'Actual Exercise Log'!A:A, A228), 0)</f>
        <v/>
      </c>
      <c r="G228" s="17">
        <f>Setup!$B$18</f>
        <v/>
      </c>
      <c r="H228" s="17">
        <f>IF(D228&gt;0, G228 + F228, G228)</f>
        <v/>
      </c>
      <c r="I228" s="17">
        <f>IF(D228&gt;0, H228 - D228, 0)</f>
        <v/>
      </c>
      <c r="J228" s="17">
        <f>Setup!$B$20</f>
        <v/>
      </c>
      <c r="K228" s="17">
        <f>IF(D228&gt;0, D228 - J228, 0)</f>
        <v/>
      </c>
      <c r="L228" s="11" t="inlineStr">
        <is>
          <t>25-Min Radiant Celebration Zumba Masterclass</t>
        </is>
      </c>
      <c r="M228" s="10" t="inlineStr">
        <is>
          <t>Pending</t>
        </is>
      </c>
      <c r="N228" s="11" t="inlineStr"/>
    </row>
    <row r="229" ht="24" customHeight="1">
      <c r="A229" s="10" t="inlineStr">
        <is>
          <t>2027-06-08</t>
        </is>
      </c>
      <c r="B229" s="10" t="n">
        <v>228</v>
      </c>
      <c r="C229" s="10" t="inlineStr">
        <is>
          <t>Tuesday</t>
        </is>
      </c>
      <c r="D229" s="17">
        <f>IFERROR(SUMIFS('Actual Food Log'!E:E, 'Actual Food Log'!A:A, A229), 0)</f>
        <v/>
      </c>
      <c r="E229" s="18">
        <f>IFERROR(SUMIFS('Actual Food Log'!F:F, 'Actual Food Log'!A:A, A229), 0)</f>
        <v/>
      </c>
      <c r="F229" s="17">
        <f>IFERROR(SUMIFS('Actual Exercise Log'!E:E, 'Actual Exercise Log'!A:A, A229), 0)</f>
        <v/>
      </c>
      <c r="G229" s="17">
        <f>Setup!$B$18</f>
        <v/>
      </c>
      <c r="H229" s="17">
        <f>IF(D229&gt;0, G229 + F229, G229)</f>
        <v/>
      </c>
      <c r="I229" s="17">
        <f>IF(D229&gt;0, H229 - D229, 0)</f>
        <v/>
      </c>
      <c r="J229" s="17">
        <f>Setup!$B$20</f>
        <v/>
      </c>
      <c r="K229" s="17">
        <f>IF(D229&gt;0, D229 - J229, 0)</f>
        <v/>
      </c>
      <c r="L229" s="11" t="inlineStr">
        <is>
          <t>20-Min Full Body Zumba Fiesta &amp; Core Tone</t>
        </is>
      </c>
      <c r="M229" s="10" t="inlineStr">
        <is>
          <t>Pending</t>
        </is>
      </c>
      <c r="N229" s="11" t="inlineStr"/>
    </row>
    <row r="230" ht="24" customHeight="1">
      <c r="A230" s="7" t="inlineStr">
        <is>
          <t>2027-06-09</t>
        </is>
      </c>
      <c r="B230" s="7" t="n">
        <v>229</v>
      </c>
      <c r="C230" s="7" t="inlineStr">
        <is>
          <t>Wednesday</t>
        </is>
      </c>
      <c r="D230" s="15">
        <f>IFERROR(SUMIFS('Actual Food Log'!E:E, 'Actual Food Log'!A:A, A230), 0)</f>
        <v/>
      </c>
      <c r="E230" s="16">
        <f>IFERROR(SUMIFS('Actual Food Log'!F:F, 'Actual Food Log'!A:A, A230), 0)</f>
        <v/>
      </c>
      <c r="F230" s="15">
        <f>IFERROR(SUMIFS('Actual Exercise Log'!E:E, 'Actual Exercise Log'!A:A, A230), 0)</f>
        <v/>
      </c>
      <c r="G230" s="15">
        <f>Setup!$B$18</f>
        <v/>
      </c>
      <c r="H230" s="15">
        <f>IF(D230&gt;0, G230 + F230, G230)</f>
        <v/>
      </c>
      <c r="I230" s="15">
        <f>IF(D230&gt;0, H230 - D230, 0)</f>
        <v/>
      </c>
      <c r="J230" s="15">
        <f>Setup!$B$20</f>
        <v/>
      </c>
      <c r="K230" s="15">
        <f>IF(D230&gt;0, D230 - J230, 0)</f>
        <v/>
      </c>
      <c r="L230" s="8" t="inlineStr">
        <is>
          <t>REST DAY</t>
        </is>
      </c>
      <c r="M230" s="7" t="inlineStr">
        <is>
          <t>Rest Day Honored ❤️</t>
        </is>
      </c>
      <c r="N230" s="8" t="inlineStr"/>
    </row>
    <row r="231" ht="24" customHeight="1">
      <c r="A231" s="10" t="inlineStr">
        <is>
          <t>2027-06-10</t>
        </is>
      </c>
      <c r="B231" s="10" t="n">
        <v>230</v>
      </c>
      <c r="C231" s="10" t="inlineStr">
        <is>
          <t>Thursday</t>
        </is>
      </c>
      <c r="D231" s="17">
        <f>IFERROR(SUMIFS('Actual Food Log'!E:E, 'Actual Food Log'!A:A, A231), 0)</f>
        <v/>
      </c>
      <c r="E231" s="18">
        <f>IFERROR(SUMIFS('Actual Food Log'!F:F, 'Actual Food Log'!A:A, A231), 0)</f>
        <v/>
      </c>
      <c r="F231" s="17">
        <f>IFERROR(SUMIFS('Actual Exercise Log'!E:E, 'Actual Exercise Log'!A:A, A231), 0)</f>
        <v/>
      </c>
      <c r="G231" s="17">
        <f>Setup!$B$18</f>
        <v/>
      </c>
      <c r="H231" s="17">
        <f>IF(D231&gt;0, G231 + F231, G231)</f>
        <v/>
      </c>
      <c r="I231" s="17">
        <f>IF(D231&gt;0, H231 - D231, 0)</f>
        <v/>
      </c>
      <c r="J231" s="17">
        <f>Setup!$B$20</f>
        <v/>
      </c>
      <c r="K231" s="17">
        <f>IF(D231&gt;0, D231 - J231, 0)</f>
        <v/>
      </c>
      <c r="L231" s="11" t="inlineStr">
        <is>
          <t>25-Min Radiant Celebration Zumba Masterclass</t>
        </is>
      </c>
      <c r="M231" s="10" t="inlineStr">
        <is>
          <t>Pending</t>
        </is>
      </c>
      <c r="N231" s="11" t="inlineStr"/>
    </row>
    <row r="232" ht="24" customHeight="1">
      <c r="A232" s="10" t="inlineStr">
        <is>
          <t>2027-06-11</t>
        </is>
      </c>
      <c r="B232" s="10" t="n">
        <v>231</v>
      </c>
      <c r="C232" s="10" t="inlineStr">
        <is>
          <t>Friday</t>
        </is>
      </c>
      <c r="D232" s="17">
        <f>IFERROR(SUMIFS('Actual Food Log'!E:E, 'Actual Food Log'!A:A, A232), 0)</f>
        <v/>
      </c>
      <c r="E232" s="18">
        <f>IFERROR(SUMIFS('Actual Food Log'!F:F, 'Actual Food Log'!A:A, A232), 0)</f>
        <v/>
      </c>
      <c r="F232" s="17">
        <f>IFERROR(SUMIFS('Actual Exercise Log'!E:E, 'Actual Exercise Log'!A:A, A232), 0)</f>
        <v/>
      </c>
      <c r="G232" s="17">
        <f>Setup!$B$18</f>
        <v/>
      </c>
      <c r="H232" s="17">
        <f>IF(D232&gt;0, G232 + F232, G232)</f>
        <v/>
      </c>
      <c r="I232" s="17">
        <f>IF(D232&gt;0, H232 - D232, 0)</f>
        <v/>
      </c>
      <c r="J232" s="17">
        <f>Setup!$B$20</f>
        <v/>
      </c>
      <c r="K232" s="17">
        <f>IF(D232&gt;0, D232 - J232, 0)</f>
        <v/>
      </c>
      <c r="L232" s="11" t="inlineStr">
        <is>
          <t>20-Min Full Body Zumba Fiesta &amp; Core Tone</t>
        </is>
      </c>
      <c r="M232" s="10" t="inlineStr">
        <is>
          <t>Pending</t>
        </is>
      </c>
      <c r="N232" s="11" t="inlineStr"/>
    </row>
    <row r="233" ht="24" customHeight="1">
      <c r="A233" s="7" t="inlineStr">
        <is>
          <t>2027-06-12</t>
        </is>
      </c>
      <c r="B233" s="7" t="n">
        <v>232</v>
      </c>
      <c r="C233" s="7" t="inlineStr">
        <is>
          <t>Saturday</t>
        </is>
      </c>
      <c r="D233" s="15">
        <f>IFERROR(SUMIFS('Actual Food Log'!E:E, 'Actual Food Log'!A:A, A233), 0)</f>
        <v/>
      </c>
      <c r="E233" s="16">
        <f>IFERROR(SUMIFS('Actual Food Log'!F:F, 'Actual Food Log'!A:A, A233), 0)</f>
        <v/>
      </c>
      <c r="F233" s="15">
        <f>IFERROR(SUMIFS('Actual Exercise Log'!E:E, 'Actual Exercise Log'!A:A, A233), 0)</f>
        <v/>
      </c>
      <c r="G233" s="15">
        <f>Setup!$B$18</f>
        <v/>
      </c>
      <c r="H233" s="15">
        <f>IF(D233&gt;0, G233 + F233, G233)</f>
        <v/>
      </c>
      <c r="I233" s="15">
        <f>IF(D233&gt;0, H233 - D233, 0)</f>
        <v/>
      </c>
      <c r="J233" s="15">
        <f>Setup!$B$20</f>
        <v/>
      </c>
      <c r="K233" s="15">
        <f>IF(D233&gt;0, D233 - J233, 0)</f>
        <v/>
      </c>
      <c r="L233" s="8" t="inlineStr">
        <is>
          <t>REST DAY</t>
        </is>
      </c>
      <c r="M233" s="7" t="inlineStr">
        <is>
          <t>Rest Day Honored ❤️</t>
        </is>
      </c>
      <c r="N233" s="8" t="inlineStr"/>
    </row>
    <row r="234" ht="24" customHeight="1">
      <c r="A234" s="7" t="inlineStr">
        <is>
          <t>2027-06-13</t>
        </is>
      </c>
      <c r="B234" s="7" t="n">
        <v>233</v>
      </c>
      <c r="C234" s="7" t="inlineStr">
        <is>
          <t>Sunday</t>
        </is>
      </c>
      <c r="D234" s="15">
        <f>IFERROR(SUMIFS('Actual Food Log'!E:E, 'Actual Food Log'!A:A, A234), 0)</f>
        <v/>
      </c>
      <c r="E234" s="16">
        <f>IFERROR(SUMIFS('Actual Food Log'!F:F, 'Actual Food Log'!A:A, A234), 0)</f>
        <v/>
      </c>
      <c r="F234" s="15">
        <f>IFERROR(SUMIFS('Actual Exercise Log'!E:E, 'Actual Exercise Log'!A:A, A234), 0)</f>
        <v/>
      </c>
      <c r="G234" s="15">
        <f>Setup!$B$18</f>
        <v/>
      </c>
      <c r="H234" s="15">
        <f>IF(D234&gt;0, G234 + F234, G234)</f>
        <v/>
      </c>
      <c r="I234" s="15">
        <f>IF(D234&gt;0, H234 - D234, 0)</f>
        <v/>
      </c>
      <c r="J234" s="15">
        <f>Setup!$B$20</f>
        <v/>
      </c>
      <c r="K234" s="15">
        <f>IF(D234&gt;0, D234 - J234, 0)</f>
        <v/>
      </c>
      <c r="L234" s="8" t="inlineStr">
        <is>
          <t>REST DAY</t>
        </is>
      </c>
      <c r="M234" s="7" t="inlineStr">
        <is>
          <t>Rest Day Honored ❤️</t>
        </is>
      </c>
      <c r="N234" s="8" t="inlineStr"/>
    </row>
    <row r="235" ht="24" customHeight="1">
      <c r="A235" s="10" t="inlineStr">
        <is>
          <t>2027-06-14</t>
        </is>
      </c>
      <c r="B235" s="10" t="n">
        <v>234</v>
      </c>
      <c r="C235" s="10" t="inlineStr">
        <is>
          <t>Monday</t>
        </is>
      </c>
      <c r="D235" s="17">
        <f>IFERROR(SUMIFS('Actual Food Log'!E:E, 'Actual Food Log'!A:A, A235), 0)</f>
        <v/>
      </c>
      <c r="E235" s="18">
        <f>IFERROR(SUMIFS('Actual Food Log'!F:F, 'Actual Food Log'!A:A, A235), 0)</f>
        <v/>
      </c>
      <c r="F235" s="17">
        <f>IFERROR(SUMIFS('Actual Exercise Log'!E:E, 'Actual Exercise Log'!A:A, A235), 0)</f>
        <v/>
      </c>
      <c r="G235" s="17">
        <f>Setup!$B$18</f>
        <v/>
      </c>
      <c r="H235" s="17">
        <f>IF(D235&gt;0, G235 + F235, G235)</f>
        <v/>
      </c>
      <c r="I235" s="17">
        <f>IF(D235&gt;0, H235 - D235, 0)</f>
        <v/>
      </c>
      <c r="J235" s="17">
        <f>Setup!$B$20</f>
        <v/>
      </c>
      <c r="K235" s="17">
        <f>IF(D235&gt;0, D235 - J235, 0)</f>
        <v/>
      </c>
      <c r="L235" s="11" t="inlineStr">
        <is>
          <t>25-Min Radiant Celebration Zumba Masterclass</t>
        </is>
      </c>
      <c r="M235" s="10" t="inlineStr">
        <is>
          <t>Pending</t>
        </is>
      </c>
      <c r="N235" s="11" t="inlineStr"/>
    </row>
    <row r="236" ht="24" customHeight="1">
      <c r="A236" s="10" t="inlineStr">
        <is>
          <t>2027-06-15</t>
        </is>
      </c>
      <c r="B236" s="10" t="n">
        <v>235</v>
      </c>
      <c r="C236" s="10" t="inlineStr">
        <is>
          <t>Tuesday</t>
        </is>
      </c>
      <c r="D236" s="17">
        <f>IFERROR(SUMIFS('Actual Food Log'!E:E, 'Actual Food Log'!A:A, A236), 0)</f>
        <v/>
      </c>
      <c r="E236" s="18">
        <f>IFERROR(SUMIFS('Actual Food Log'!F:F, 'Actual Food Log'!A:A, A236), 0)</f>
        <v/>
      </c>
      <c r="F236" s="17">
        <f>IFERROR(SUMIFS('Actual Exercise Log'!E:E, 'Actual Exercise Log'!A:A, A236), 0)</f>
        <v/>
      </c>
      <c r="G236" s="17">
        <f>Setup!$B$18</f>
        <v/>
      </c>
      <c r="H236" s="17">
        <f>IF(D236&gt;0, G236 + F236, G236)</f>
        <v/>
      </c>
      <c r="I236" s="17">
        <f>IF(D236&gt;0, H236 - D236, 0)</f>
        <v/>
      </c>
      <c r="J236" s="17">
        <f>Setup!$B$20</f>
        <v/>
      </c>
      <c r="K236" s="17">
        <f>IF(D236&gt;0, D236 - J236, 0)</f>
        <v/>
      </c>
      <c r="L236" s="11" t="inlineStr">
        <is>
          <t>20-Min Full Body Zumba Fiesta &amp; Core Tone</t>
        </is>
      </c>
      <c r="M236" s="10" t="inlineStr">
        <is>
          <t>Pending</t>
        </is>
      </c>
      <c r="N236" s="11" t="inlineStr"/>
    </row>
    <row r="237" ht="24" customHeight="1">
      <c r="A237" s="7" t="inlineStr">
        <is>
          <t>2027-06-16</t>
        </is>
      </c>
      <c r="B237" s="7" t="n">
        <v>236</v>
      </c>
      <c r="C237" s="7" t="inlineStr">
        <is>
          <t>Wednesday</t>
        </is>
      </c>
      <c r="D237" s="15">
        <f>IFERROR(SUMIFS('Actual Food Log'!E:E, 'Actual Food Log'!A:A, A237), 0)</f>
        <v/>
      </c>
      <c r="E237" s="16">
        <f>IFERROR(SUMIFS('Actual Food Log'!F:F, 'Actual Food Log'!A:A, A237), 0)</f>
        <v/>
      </c>
      <c r="F237" s="15">
        <f>IFERROR(SUMIFS('Actual Exercise Log'!E:E, 'Actual Exercise Log'!A:A, A237), 0)</f>
        <v/>
      </c>
      <c r="G237" s="15">
        <f>Setup!$B$18</f>
        <v/>
      </c>
      <c r="H237" s="15">
        <f>IF(D237&gt;0, G237 + F237, G237)</f>
        <v/>
      </c>
      <c r="I237" s="15">
        <f>IF(D237&gt;0, H237 - D237, 0)</f>
        <v/>
      </c>
      <c r="J237" s="15">
        <f>Setup!$B$20</f>
        <v/>
      </c>
      <c r="K237" s="15">
        <f>IF(D237&gt;0, D237 - J237, 0)</f>
        <v/>
      </c>
      <c r="L237" s="8" t="inlineStr">
        <is>
          <t>REST DAY</t>
        </is>
      </c>
      <c r="M237" s="7" t="inlineStr">
        <is>
          <t>Rest Day Honored ❤️</t>
        </is>
      </c>
      <c r="N237" s="8" t="inlineStr"/>
    </row>
    <row r="238" ht="24" customHeight="1">
      <c r="A238" s="10" t="inlineStr">
        <is>
          <t>2027-06-17</t>
        </is>
      </c>
      <c r="B238" s="10" t="n">
        <v>237</v>
      </c>
      <c r="C238" s="10" t="inlineStr">
        <is>
          <t>Thursday</t>
        </is>
      </c>
      <c r="D238" s="17">
        <f>IFERROR(SUMIFS('Actual Food Log'!E:E, 'Actual Food Log'!A:A, A238), 0)</f>
        <v/>
      </c>
      <c r="E238" s="18">
        <f>IFERROR(SUMIFS('Actual Food Log'!F:F, 'Actual Food Log'!A:A, A238), 0)</f>
        <v/>
      </c>
      <c r="F238" s="17">
        <f>IFERROR(SUMIFS('Actual Exercise Log'!E:E, 'Actual Exercise Log'!A:A, A238), 0)</f>
        <v/>
      </c>
      <c r="G238" s="17">
        <f>Setup!$B$18</f>
        <v/>
      </c>
      <c r="H238" s="17">
        <f>IF(D238&gt;0, G238 + F238, G238)</f>
        <v/>
      </c>
      <c r="I238" s="17">
        <f>IF(D238&gt;0, H238 - D238, 0)</f>
        <v/>
      </c>
      <c r="J238" s="17">
        <f>Setup!$B$20</f>
        <v/>
      </c>
      <c r="K238" s="17">
        <f>IF(D238&gt;0, D238 - J238, 0)</f>
        <v/>
      </c>
      <c r="L238" s="11" t="inlineStr">
        <is>
          <t>25-Min Radiant Celebration Zumba Masterclass</t>
        </is>
      </c>
      <c r="M238" s="10" t="inlineStr">
        <is>
          <t>Pending</t>
        </is>
      </c>
      <c r="N238" s="11" t="inlineStr"/>
    </row>
    <row r="239" ht="24" customHeight="1">
      <c r="A239" s="10" t="inlineStr">
        <is>
          <t>2027-06-18</t>
        </is>
      </c>
      <c r="B239" s="10" t="n">
        <v>238</v>
      </c>
      <c r="C239" s="10" t="inlineStr">
        <is>
          <t>Friday</t>
        </is>
      </c>
      <c r="D239" s="17">
        <f>IFERROR(SUMIFS('Actual Food Log'!E:E, 'Actual Food Log'!A:A, A239), 0)</f>
        <v/>
      </c>
      <c r="E239" s="18">
        <f>IFERROR(SUMIFS('Actual Food Log'!F:F, 'Actual Food Log'!A:A, A239), 0)</f>
        <v/>
      </c>
      <c r="F239" s="17">
        <f>IFERROR(SUMIFS('Actual Exercise Log'!E:E, 'Actual Exercise Log'!A:A, A239), 0)</f>
        <v/>
      </c>
      <c r="G239" s="17">
        <f>Setup!$B$18</f>
        <v/>
      </c>
      <c r="H239" s="17">
        <f>IF(D239&gt;0, G239 + F239, G239)</f>
        <v/>
      </c>
      <c r="I239" s="17">
        <f>IF(D239&gt;0, H239 - D239, 0)</f>
        <v/>
      </c>
      <c r="J239" s="17">
        <f>Setup!$B$20</f>
        <v/>
      </c>
      <c r="K239" s="17">
        <f>IF(D239&gt;0, D239 - J239, 0)</f>
        <v/>
      </c>
      <c r="L239" s="11" t="inlineStr">
        <is>
          <t>20-Min Full Body Zumba Fiesta &amp; Core Tone</t>
        </is>
      </c>
      <c r="M239" s="10" t="inlineStr">
        <is>
          <t>Pending</t>
        </is>
      </c>
      <c r="N239" s="11" t="inlineStr"/>
    </row>
    <row r="240" ht="24" customHeight="1">
      <c r="A240" s="7" t="inlineStr">
        <is>
          <t>2027-06-19</t>
        </is>
      </c>
      <c r="B240" s="7" t="n">
        <v>239</v>
      </c>
      <c r="C240" s="7" t="inlineStr">
        <is>
          <t>Saturday</t>
        </is>
      </c>
      <c r="D240" s="15">
        <f>IFERROR(SUMIFS('Actual Food Log'!E:E, 'Actual Food Log'!A:A, A240), 0)</f>
        <v/>
      </c>
      <c r="E240" s="16">
        <f>IFERROR(SUMIFS('Actual Food Log'!F:F, 'Actual Food Log'!A:A, A240), 0)</f>
        <v/>
      </c>
      <c r="F240" s="15">
        <f>IFERROR(SUMIFS('Actual Exercise Log'!E:E, 'Actual Exercise Log'!A:A, A240), 0)</f>
        <v/>
      </c>
      <c r="G240" s="15">
        <f>Setup!$B$18</f>
        <v/>
      </c>
      <c r="H240" s="15">
        <f>IF(D240&gt;0, G240 + F240, G240)</f>
        <v/>
      </c>
      <c r="I240" s="15">
        <f>IF(D240&gt;0, H240 - D240, 0)</f>
        <v/>
      </c>
      <c r="J240" s="15">
        <f>Setup!$B$20</f>
        <v/>
      </c>
      <c r="K240" s="15">
        <f>IF(D240&gt;0, D240 - J240, 0)</f>
        <v/>
      </c>
      <c r="L240" s="8" t="inlineStr">
        <is>
          <t>REST DAY</t>
        </is>
      </c>
      <c r="M240" s="7" t="inlineStr">
        <is>
          <t>Rest Day Honored ❤️</t>
        </is>
      </c>
      <c r="N240" s="8" t="inlineStr"/>
    </row>
    <row r="241" ht="24" customHeight="1">
      <c r="A241" s="7" t="inlineStr">
        <is>
          <t>2027-06-20</t>
        </is>
      </c>
      <c r="B241" s="7" t="n">
        <v>240</v>
      </c>
      <c r="C241" s="7" t="inlineStr">
        <is>
          <t>Sunday</t>
        </is>
      </c>
      <c r="D241" s="15">
        <f>IFERROR(SUMIFS('Actual Food Log'!E:E, 'Actual Food Log'!A:A, A241), 0)</f>
        <v/>
      </c>
      <c r="E241" s="16">
        <f>IFERROR(SUMIFS('Actual Food Log'!F:F, 'Actual Food Log'!A:A, A241), 0)</f>
        <v/>
      </c>
      <c r="F241" s="15">
        <f>IFERROR(SUMIFS('Actual Exercise Log'!E:E, 'Actual Exercise Log'!A:A, A241), 0)</f>
        <v/>
      </c>
      <c r="G241" s="15">
        <f>Setup!$B$18</f>
        <v/>
      </c>
      <c r="H241" s="15">
        <f>IF(D241&gt;0, G241 + F241, G241)</f>
        <v/>
      </c>
      <c r="I241" s="15">
        <f>IF(D241&gt;0, H241 - D241, 0)</f>
        <v/>
      </c>
      <c r="J241" s="15">
        <f>Setup!$B$20</f>
        <v/>
      </c>
      <c r="K241" s="15">
        <f>IF(D241&gt;0, D241 - J241, 0)</f>
        <v/>
      </c>
      <c r="L241" s="8" t="inlineStr">
        <is>
          <t>REST DAY</t>
        </is>
      </c>
      <c r="M241" s="7" t="inlineStr">
        <is>
          <t>Rest Day Honored ❤️</t>
        </is>
      </c>
      <c r="N241"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1"/>
  <sheetViews>
    <sheetView showGridLines="1" workbookViewId="0">
      <selection activeCell="A1" sqref="A1"/>
    </sheetView>
  </sheetViews>
  <sheetFormatPr baseColWidth="8" defaultRowHeight="15" outlineLevelCol="0"/>
  <cols>
    <col width="14" customWidth="1" min="1" max="1"/>
    <col width="14" customWidth="1" min="2" max="2"/>
    <col width="14" customWidth="1" min="3" max="3"/>
    <col width="20" customWidth="1" min="4" max="4"/>
    <col width="20" customWidth="1" min="5" max="5"/>
    <col width="20" customWidth="1" min="6" max="6"/>
    <col width="20" customWidth="1" min="7" max="7"/>
    <col width="22" customWidth="1" min="8" max="8"/>
    <col width="45" customWidth="1" min="9" max="9"/>
  </cols>
  <sheetData>
    <row r="1" ht="28" customHeight="1">
      <c r="A1" s="6" t="inlineStr">
        <is>
          <t>Date</t>
        </is>
      </c>
      <c r="B1" s="6" t="inlineStr">
        <is>
          <t>Day #</t>
        </is>
      </c>
      <c r="C1" s="6" t="inlineStr">
        <is>
          <t>Day of Week</t>
        </is>
      </c>
      <c r="D1" s="6" t="inlineStr">
        <is>
          <t>Morning Weight (kg)</t>
        </is>
      </c>
      <c r="E1" s="6" t="inlineStr">
        <is>
          <t>Weekly Rolling Average (kg)</t>
        </is>
      </c>
      <c r="F1" s="6" t="inlineStr">
        <is>
          <t>Weight Change from Baseline (kg)</t>
        </is>
      </c>
      <c r="G1" s="6" t="inlineStr">
        <is>
          <t>Waist Measurement (inches)</t>
        </is>
      </c>
      <c r="H1" s="6" t="inlineStr">
        <is>
          <t>Menstrual / Cycle Phase</t>
        </is>
      </c>
      <c r="I1" s="6" t="inlineStr">
        <is>
          <t>Notes &amp; Non-Scale Victories</t>
        </is>
      </c>
    </row>
    <row r="2" ht="22" customHeight="1">
      <c r="A2" s="7" t="inlineStr">
        <is>
          <t>2026-10-24</t>
        </is>
      </c>
      <c r="B2" s="7" t="n">
        <v>1</v>
      </c>
      <c r="C2" s="7" t="inlineStr">
        <is>
          <t>Saturday</t>
        </is>
      </c>
      <c r="D2" s="19" t="n">
        <v>88.5</v>
      </c>
      <c r="E2" s="19">
        <f>IF(D2&lt;&gt;"", ROUND(AVERAGE(D2:D2), 2), "")</f>
        <v/>
      </c>
      <c r="F2" s="19">
        <f>IF(D2&lt;&gt;"", ROUND(D2 - Setup!$B$6, 2), "")</f>
        <v/>
      </c>
      <c r="G2" s="9" t="inlineStr"/>
      <c r="H2" s="7" t="inlineStr">
        <is>
          <t>Menstrual Day 1</t>
        </is>
      </c>
      <c r="I2" s="8" t="inlineStr">
        <is>
          <t>Starting baseline check-in (88.5 kg). Day 1 period water retention.</t>
        </is>
      </c>
    </row>
    <row r="3" ht="22" customHeight="1">
      <c r="A3" s="10" t="inlineStr">
        <is>
          <t>2026-10-25</t>
        </is>
      </c>
      <c r="B3" s="10" t="n">
        <v>2</v>
      </c>
      <c r="C3" s="10" t="inlineStr">
        <is>
          <t>Sunday</t>
        </is>
      </c>
      <c r="D3" s="20" t="n">
        <v>86.2</v>
      </c>
      <c r="E3" s="20">
        <f>IF(D3&lt;&gt;"", ROUND(AVERAGE(D2:D3), 2), "")</f>
        <v/>
      </c>
      <c r="F3" s="20">
        <f>IF(D3&lt;&gt;"", ROUND(D3 - Setup!$B$6, 2), "")</f>
        <v/>
      </c>
      <c r="G3" s="12" t="inlineStr"/>
      <c r="H3" s="10" t="inlineStr">
        <is>
          <t>Menstrual Day 2</t>
        </is>
      </c>
      <c r="I3" s="11" t="inlineStr">
        <is>
          <t>Current updated weight check-in (86.2 kg). Sustainable progress ❤️</t>
        </is>
      </c>
    </row>
    <row r="4" ht="22" customHeight="1">
      <c r="A4" s="7" t="inlineStr">
        <is>
          <t>2026-10-26</t>
        </is>
      </c>
      <c r="B4" s="7" t="n">
        <v>3</v>
      </c>
      <c r="C4" s="7" t="inlineStr">
        <is>
          <t>Monday</t>
        </is>
      </c>
      <c r="D4" s="19" t="n">
        <v>86.2</v>
      </c>
      <c r="E4" s="19">
        <f>IF(D4&lt;&gt;"", ROUND(AVERAGE(D2:D4), 2), "")</f>
        <v/>
      </c>
      <c r="F4" s="19">
        <f>IF(D4&lt;&gt;"", ROUND(D4 - Setup!$B$6, 2), "")</f>
        <v/>
      </c>
      <c r="G4" s="9" t="inlineStr"/>
      <c r="H4" s="7" t="inlineStr">
        <is>
          <t>Menstrual Day 3</t>
        </is>
      </c>
      <c r="I4" s="8" t="inlineStr"/>
    </row>
    <row r="5" ht="22" customHeight="1">
      <c r="A5" s="10" t="inlineStr">
        <is>
          <t>2026-10-27</t>
        </is>
      </c>
      <c r="B5" s="10" t="n">
        <v>4</v>
      </c>
      <c r="C5" s="10" t="inlineStr">
        <is>
          <t>Tuesday</t>
        </is>
      </c>
      <c r="D5" s="20" t="n">
        <v>86.09999999999999</v>
      </c>
      <c r="E5" s="20">
        <f>IF(D5&lt;&gt;"", ROUND(AVERAGE(D2:D5), 2), "")</f>
        <v/>
      </c>
      <c r="F5" s="20">
        <f>IF(D5&lt;&gt;"", ROUND(D5 - Setup!$B$6, 2), "")</f>
        <v/>
      </c>
      <c r="G5" s="12" t="inlineStr"/>
      <c r="H5" s="10" t="inlineStr">
        <is>
          <t>Menstrual Day 4</t>
        </is>
      </c>
      <c r="I5" s="11" t="inlineStr">
        <is>
          <t>Feeling lighter, energized after Bollywood Zumba</t>
        </is>
      </c>
    </row>
    <row r="6" ht="22" customHeight="1">
      <c r="A6" s="7" t="inlineStr">
        <is>
          <t>2026-10-28</t>
        </is>
      </c>
      <c r="B6" s="7" t="n">
        <v>5</v>
      </c>
      <c r="C6" s="7" t="inlineStr">
        <is>
          <t>Wednesday</t>
        </is>
      </c>
      <c r="D6" s="19" t="inlineStr"/>
      <c r="E6" s="19">
        <f>IF(D6&lt;&gt;"", ROUND(AVERAGE(D2:D6), 2), "")</f>
        <v/>
      </c>
      <c r="F6" s="19">
        <f>IF(D6&lt;&gt;"", ROUND(D6 - Setup!$B$6, 2), "")</f>
        <v/>
      </c>
      <c r="G6" s="9" t="inlineStr"/>
      <c r="H6" s="7" t="inlineStr">
        <is>
          <t>Follicular Phase</t>
        </is>
      </c>
      <c r="I6" s="8" t="inlineStr"/>
    </row>
    <row r="7" ht="22" customHeight="1">
      <c r="A7" s="10" t="inlineStr">
        <is>
          <t>2026-10-29</t>
        </is>
      </c>
      <c r="B7" s="10" t="n">
        <v>6</v>
      </c>
      <c r="C7" s="10" t="inlineStr">
        <is>
          <t>Thursday</t>
        </is>
      </c>
      <c r="D7" s="20" t="inlineStr"/>
      <c r="E7" s="20">
        <f>IF(D7&lt;&gt;"", ROUND(AVERAGE(D2:D7), 2), "")</f>
        <v/>
      </c>
      <c r="F7" s="20">
        <f>IF(D7&lt;&gt;"", ROUND(D7 - Setup!$B$6, 2), "")</f>
        <v/>
      </c>
      <c r="G7" s="12" t="inlineStr"/>
      <c r="H7" s="10" t="inlineStr">
        <is>
          <t>Follicular Phase</t>
        </is>
      </c>
      <c r="I7" s="11" t="inlineStr"/>
    </row>
    <row r="8" ht="22" customHeight="1">
      <c r="A8" s="7" t="inlineStr">
        <is>
          <t>2026-10-30</t>
        </is>
      </c>
      <c r="B8" s="7" t="n">
        <v>7</v>
      </c>
      <c r="C8" s="7" t="inlineStr">
        <is>
          <t>Friday</t>
        </is>
      </c>
      <c r="D8" s="19" t="inlineStr"/>
      <c r="E8" s="19">
        <f>IF(D8&lt;&gt;"", ROUND(AVERAGE(D2:D8), 2), "")</f>
        <v/>
      </c>
      <c r="F8" s="19">
        <f>IF(D8&lt;&gt;"", ROUND(D8 - Setup!$B$6, 2), "")</f>
        <v/>
      </c>
      <c r="G8" s="9" t="inlineStr"/>
      <c r="H8" s="7" t="inlineStr">
        <is>
          <t>Follicular Phase</t>
        </is>
      </c>
      <c r="I8" s="8" t="inlineStr"/>
    </row>
    <row r="9" ht="22" customHeight="1">
      <c r="A9" s="10" t="inlineStr">
        <is>
          <t>2026-10-31</t>
        </is>
      </c>
      <c r="B9" s="10" t="n">
        <v>8</v>
      </c>
      <c r="C9" s="10" t="inlineStr">
        <is>
          <t>Saturday</t>
        </is>
      </c>
      <c r="D9" s="20" t="inlineStr"/>
      <c r="E9" s="20">
        <f>IF(D9&lt;&gt;"", ROUND(AVERAGE(D3:D9), 2), "")</f>
        <v/>
      </c>
      <c r="F9" s="20">
        <f>IF(D9&lt;&gt;"", ROUND(D9 - Setup!$B$6, 2), "")</f>
        <v/>
      </c>
      <c r="G9" s="12" t="inlineStr"/>
      <c r="H9" s="10" t="inlineStr">
        <is>
          <t>Follicular Phase</t>
        </is>
      </c>
      <c r="I9" s="11" t="inlineStr"/>
    </row>
    <row r="10" ht="22" customHeight="1">
      <c r="A10" s="7" t="inlineStr">
        <is>
          <t>2026-11-01</t>
        </is>
      </c>
      <c r="B10" s="7" t="n">
        <v>9</v>
      </c>
      <c r="C10" s="7" t="inlineStr">
        <is>
          <t>Sunday</t>
        </is>
      </c>
      <c r="D10" s="19" t="inlineStr"/>
      <c r="E10" s="19">
        <f>IF(D10&lt;&gt;"", ROUND(AVERAGE(D4:D10), 2), "")</f>
        <v/>
      </c>
      <c r="F10" s="19">
        <f>IF(D10&lt;&gt;"", ROUND(D10 - Setup!$B$6, 2), "")</f>
        <v/>
      </c>
      <c r="G10" s="9" t="inlineStr"/>
      <c r="H10" s="7" t="inlineStr">
        <is>
          <t>Follicular Phase</t>
        </is>
      </c>
      <c r="I10" s="8" t="inlineStr"/>
    </row>
    <row r="11" ht="22" customHeight="1">
      <c r="A11" s="10" t="inlineStr">
        <is>
          <t>2026-11-02</t>
        </is>
      </c>
      <c r="B11" s="10" t="n">
        <v>10</v>
      </c>
      <c r="C11" s="10" t="inlineStr">
        <is>
          <t>Monday</t>
        </is>
      </c>
      <c r="D11" s="20" t="inlineStr"/>
      <c r="E11" s="20">
        <f>IF(D11&lt;&gt;"", ROUND(AVERAGE(D5:D11), 2), "")</f>
        <v/>
      </c>
      <c r="F11" s="20">
        <f>IF(D11&lt;&gt;"", ROUND(D11 - Setup!$B$6, 2), "")</f>
        <v/>
      </c>
      <c r="G11" s="12" t="inlineStr"/>
      <c r="H11" s="10" t="inlineStr">
        <is>
          <t>Follicular Phase</t>
        </is>
      </c>
      <c r="I11" s="11" t="inlineStr"/>
    </row>
    <row r="12" ht="22" customHeight="1">
      <c r="A12" s="7" t="inlineStr">
        <is>
          <t>2026-11-03</t>
        </is>
      </c>
      <c r="B12" s="7" t="n">
        <v>11</v>
      </c>
      <c r="C12" s="7" t="inlineStr">
        <is>
          <t>Tuesday</t>
        </is>
      </c>
      <c r="D12" s="19" t="inlineStr"/>
      <c r="E12" s="19">
        <f>IF(D12&lt;&gt;"", ROUND(AVERAGE(D6:D12), 2), "")</f>
        <v/>
      </c>
      <c r="F12" s="19">
        <f>IF(D12&lt;&gt;"", ROUND(D12 - Setup!$B$6, 2), "")</f>
        <v/>
      </c>
      <c r="G12" s="9" t="inlineStr"/>
      <c r="H12" s="7" t="inlineStr">
        <is>
          <t>Follicular Phase</t>
        </is>
      </c>
      <c r="I12" s="8" t="inlineStr"/>
    </row>
    <row r="13" ht="22" customHeight="1">
      <c r="A13" s="10" t="inlineStr">
        <is>
          <t>2026-11-04</t>
        </is>
      </c>
      <c r="B13" s="10" t="n">
        <v>12</v>
      </c>
      <c r="C13" s="10" t="inlineStr">
        <is>
          <t>Wednesday</t>
        </is>
      </c>
      <c r="D13" s="20" t="inlineStr"/>
      <c r="E13" s="20">
        <f>IF(D13&lt;&gt;"", ROUND(AVERAGE(D7:D13), 2), "")</f>
        <v/>
      </c>
      <c r="F13" s="20">
        <f>IF(D13&lt;&gt;"", ROUND(D13 - Setup!$B$6, 2), "")</f>
        <v/>
      </c>
      <c r="G13" s="12" t="inlineStr"/>
      <c r="H13" s="10" t="inlineStr">
        <is>
          <t>Follicular Phase</t>
        </is>
      </c>
      <c r="I13" s="11" t="inlineStr"/>
    </row>
    <row r="14" ht="22" customHeight="1">
      <c r="A14" s="7" t="inlineStr">
        <is>
          <t>2026-11-05</t>
        </is>
      </c>
      <c r="B14" s="7" t="n">
        <v>13</v>
      </c>
      <c r="C14" s="7" t="inlineStr">
        <is>
          <t>Thursday</t>
        </is>
      </c>
      <c r="D14" s="19" t="inlineStr"/>
      <c r="E14" s="19">
        <f>IF(D14&lt;&gt;"", ROUND(AVERAGE(D8:D14), 2), "")</f>
        <v/>
      </c>
      <c r="F14" s="19">
        <f>IF(D14&lt;&gt;"", ROUND(D14 - Setup!$B$6, 2), "")</f>
        <v/>
      </c>
      <c r="G14" s="9" t="inlineStr"/>
      <c r="H14" s="7" t="inlineStr">
        <is>
          <t>Follicular Phase</t>
        </is>
      </c>
      <c r="I14" s="8" t="inlineStr"/>
    </row>
    <row r="15" ht="22" customHeight="1">
      <c r="A15" s="10" t="inlineStr">
        <is>
          <t>2026-11-06</t>
        </is>
      </c>
      <c r="B15" s="10" t="n">
        <v>14</v>
      </c>
      <c r="C15" s="10" t="inlineStr">
        <is>
          <t>Friday</t>
        </is>
      </c>
      <c r="D15" s="20" t="inlineStr"/>
      <c r="E15" s="20">
        <f>IF(D15&lt;&gt;"", ROUND(AVERAGE(D9:D15), 2), "")</f>
        <v/>
      </c>
      <c r="F15" s="20">
        <f>IF(D15&lt;&gt;"", ROUND(D15 - Setup!$B$6, 2), "")</f>
        <v/>
      </c>
      <c r="G15" s="12" t="inlineStr"/>
      <c r="H15" s="10" t="inlineStr">
        <is>
          <t>Follicular Phase</t>
        </is>
      </c>
      <c r="I15" s="11" t="inlineStr"/>
    </row>
    <row r="16" ht="22" customHeight="1">
      <c r="A16" s="7" t="inlineStr">
        <is>
          <t>2026-11-07</t>
        </is>
      </c>
      <c r="B16" s="7" t="n">
        <v>15</v>
      </c>
      <c r="C16" s="7" t="inlineStr">
        <is>
          <t>Saturday</t>
        </is>
      </c>
      <c r="D16" s="19" t="inlineStr"/>
      <c r="E16" s="19">
        <f>IF(D16&lt;&gt;"", ROUND(AVERAGE(D10:D16), 2), "")</f>
        <v/>
      </c>
      <c r="F16" s="19">
        <f>IF(D16&lt;&gt;"", ROUND(D16 - Setup!$B$6, 2), "")</f>
        <v/>
      </c>
      <c r="G16" s="9" t="inlineStr"/>
      <c r="H16" s="7" t="inlineStr">
        <is>
          <t>Follicular Phase</t>
        </is>
      </c>
      <c r="I16" s="8" t="inlineStr"/>
    </row>
    <row r="17" ht="22" customHeight="1">
      <c r="A17" s="10" t="inlineStr">
        <is>
          <t>2026-11-08</t>
        </is>
      </c>
      <c r="B17" s="10" t="n">
        <v>16</v>
      </c>
      <c r="C17" s="10" t="inlineStr">
        <is>
          <t>Sunday</t>
        </is>
      </c>
      <c r="D17" s="20" t="inlineStr"/>
      <c r="E17" s="20">
        <f>IF(D17&lt;&gt;"", ROUND(AVERAGE(D11:D17), 2), "")</f>
        <v/>
      </c>
      <c r="F17" s="20">
        <f>IF(D17&lt;&gt;"", ROUND(D17 - Setup!$B$6, 2), "")</f>
        <v/>
      </c>
      <c r="G17" s="12" t="inlineStr"/>
      <c r="H17" s="10" t="inlineStr">
        <is>
          <t>Follicular Phase</t>
        </is>
      </c>
      <c r="I17" s="11" t="inlineStr"/>
    </row>
    <row r="18" ht="22" customHeight="1">
      <c r="A18" s="7" t="inlineStr">
        <is>
          <t>2026-11-09</t>
        </is>
      </c>
      <c r="B18" s="7" t="n">
        <v>17</v>
      </c>
      <c r="C18" s="7" t="inlineStr">
        <is>
          <t>Monday</t>
        </is>
      </c>
      <c r="D18" s="19" t="inlineStr"/>
      <c r="E18" s="19">
        <f>IF(D18&lt;&gt;"", ROUND(AVERAGE(D12:D18), 2), "")</f>
        <v/>
      </c>
      <c r="F18" s="19">
        <f>IF(D18&lt;&gt;"", ROUND(D18 - Setup!$B$6, 2), "")</f>
        <v/>
      </c>
      <c r="G18" s="9" t="inlineStr"/>
      <c r="H18" s="7" t="inlineStr">
        <is>
          <t>Follicular Phase</t>
        </is>
      </c>
      <c r="I18" s="8" t="inlineStr"/>
    </row>
    <row r="19" ht="22" customHeight="1">
      <c r="A19" s="10" t="inlineStr">
        <is>
          <t>2026-11-10</t>
        </is>
      </c>
      <c r="B19" s="10" t="n">
        <v>18</v>
      </c>
      <c r="C19" s="10" t="inlineStr">
        <is>
          <t>Tuesday</t>
        </is>
      </c>
      <c r="D19" s="20" t="inlineStr"/>
      <c r="E19" s="20">
        <f>IF(D19&lt;&gt;"", ROUND(AVERAGE(D13:D19), 2), "")</f>
        <v/>
      </c>
      <c r="F19" s="20">
        <f>IF(D19&lt;&gt;"", ROUND(D19 - Setup!$B$6, 2), "")</f>
        <v/>
      </c>
      <c r="G19" s="12" t="inlineStr"/>
      <c r="H19" s="10" t="inlineStr">
        <is>
          <t>Follicular Phase</t>
        </is>
      </c>
      <c r="I19" s="11" t="inlineStr"/>
    </row>
    <row r="20" ht="22" customHeight="1">
      <c r="A20" s="7" t="inlineStr">
        <is>
          <t>2026-11-11</t>
        </is>
      </c>
      <c r="B20" s="7" t="n">
        <v>19</v>
      </c>
      <c r="C20" s="7" t="inlineStr">
        <is>
          <t>Wednesday</t>
        </is>
      </c>
      <c r="D20" s="19" t="inlineStr"/>
      <c r="E20" s="19">
        <f>IF(D20&lt;&gt;"", ROUND(AVERAGE(D14:D20), 2), "")</f>
        <v/>
      </c>
      <c r="F20" s="19">
        <f>IF(D20&lt;&gt;"", ROUND(D20 - Setup!$B$6, 2), "")</f>
        <v/>
      </c>
      <c r="G20" s="9" t="inlineStr"/>
      <c r="H20" s="7" t="inlineStr">
        <is>
          <t>Follicular Phase</t>
        </is>
      </c>
      <c r="I20" s="8" t="inlineStr"/>
    </row>
    <row r="21" ht="22" customHeight="1">
      <c r="A21" s="10" t="inlineStr">
        <is>
          <t>2026-11-12</t>
        </is>
      </c>
      <c r="B21" s="10" t="n">
        <v>20</v>
      </c>
      <c r="C21" s="10" t="inlineStr">
        <is>
          <t>Thursday</t>
        </is>
      </c>
      <c r="D21" s="20" t="inlineStr"/>
      <c r="E21" s="20">
        <f>IF(D21&lt;&gt;"", ROUND(AVERAGE(D15:D21), 2), "")</f>
        <v/>
      </c>
      <c r="F21" s="20">
        <f>IF(D21&lt;&gt;"", ROUND(D21 - Setup!$B$6, 2), "")</f>
        <v/>
      </c>
      <c r="G21" s="12" t="inlineStr"/>
      <c r="H21" s="10" t="inlineStr">
        <is>
          <t>Follicular Phase</t>
        </is>
      </c>
      <c r="I21" s="11" t="inlineStr"/>
    </row>
    <row r="22" ht="22" customHeight="1">
      <c r="A22" s="7" t="inlineStr">
        <is>
          <t>2026-11-13</t>
        </is>
      </c>
      <c r="B22" s="7" t="n">
        <v>21</v>
      </c>
      <c r="C22" s="7" t="inlineStr">
        <is>
          <t>Friday</t>
        </is>
      </c>
      <c r="D22" s="19" t="inlineStr"/>
      <c r="E22" s="19">
        <f>IF(D22&lt;&gt;"", ROUND(AVERAGE(D16:D22), 2), "")</f>
        <v/>
      </c>
      <c r="F22" s="19">
        <f>IF(D22&lt;&gt;"", ROUND(D22 - Setup!$B$6, 2), "")</f>
        <v/>
      </c>
      <c r="G22" s="9" t="inlineStr"/>
      <c r="H22" s="7" t="inlineStr">
        <is>
          <t>Follicular Phase</t>
        </is>
      </c>
      <c r="I22" s="8" t="inlineStr"/>
    </row>
    <row r="23" ht="22" customHeight="1">
      <c r="A23" s="10" t="inlineStr">
        <is>
          <t>2026-11-14</t>
        </is>
      </c>
      <c r="B23" s="10" t="n">
        <v>22</v>
      </c>
      <c r="C23" s="10" t="inlineStr">
        <is>
          <t>Saturday</t>
        </is>
      </c>
      <c r="D23" s="20" t="inlineStr"/>
      <c r="E23" s="20">
        <f>IF(D23&lt;&gt;"", ROUND(AVERAGE(D17:D23), 2), "")</f>
        <v/>
      </c>
      <c r="F23" s="20">
        <f>IF(D23&lt;&gt;"", ROUND(D23 - Setup!$B$6, 2), "")</f>
        <v/>
      </c>
      <c r="G23" s="12" t="inlineStr"/>
      <c r="H23" s="10" t="inlineStr">
        <is>
          <t>Follicular Phase</t>
        </is>
      </c>
      <c r="I23" s="11" t="inlineStr"/>
    </row>
    <row r="24" ht="22" customHeight="1">
      <c r="A24" s="7" t="inlineStr">
        <is>
          <t>2026-11-15</t>
        </is>
      </c>
      <c r="B24" s="7" t="n">
        <v>23</v>
      </c>
      <c r="C24" s="7" t="inlineStr">
        <is>
          <t>Sunday</t>
        </is>
      </c>
      <c r="D24" s="19" t="inlineStr"/>
      <c r="E24" s="19">
        <f>IF(D24&lt;&gt;"", ROUND(AVERAGE(D18:D24), 2), "")</f>
        <v/>
      </c>
      <c r="F24" s="19">
        <f>IF(D24&lt;&gt;"", ROUND(D24 - Setup!$B$6, 2), "")</f>
        <v/>
      </c>
      <c r="G24" s="9" t="inlineStr"/>
      <c r="H24" s="7" t="inlineStr">
        <is>
          <t>Follicular Phase</t>
        </is>
      </c>
      <c r="I24" s="8" t="inlineStr"/>
    </row>
    <row r="25" ht="22" customHeight="1">
      <c r="A25" s="10" t="inlineStr">
        <is>
          <t>2026-11-16</t>
        </is>
      </c>
      <c r="B25" s="10" t="n">
        <v>24</v>
      </c>
      <c r="C25" s="10" t="inlineStr">
        <is>
          <t>Monday</t>
        </is>
      </c>
      <c r="D25" s="20" t="inlineStr"/>
      <c r="E25" s="20">
        <f>IF(D25&lt;&gt;"", ROUND(AVERAGE(D19:D25), 2), "")</f>
        <v/>
      </c>
      <c r="F25" s="20">
        <f>IF(D25&lt;&gt;"", ROUND(D25 - Setup!$B$6, 2), "")</f>
        <v/>
      </c>
      <c r="G25" s="12" t="inlineStr"/>
      <c r="H25" s="10" t="inlineStr">
        <is>
          <t>Follicular Phase</t>
        </is>
      </c>
      <c r="I25" s="11" t="inlineStr"/>
    </row>
    <row r="26" ht="22" customHeight="1">
      <c r="A26" s="7" t="inlineStr">
        <is>
          <t>2026-11-17</t>
        </is>
      </c>
      <c r="B26" s="7" t="n">
        <v>25</v>
      </c>
      <c r="C26" s="7" t="inlineStr">
        <is>
          <t>Tuesday</t>
        </is>
      </c>
      <c r="D26" s="19" t="inlineStr"/>
      <c r="E26" s="19">
        <f>IF(D26&lt;&gt;"", ROUND(AVERAGE(D20:D26), 2), "")</f>
        <v/>
      </c>
      <c r="F26" s="19">
        <f>IF(D26&lt;&gt;"", ROUND(D26 - Setup!$B$6, 2), "")</f>
        <v/>
      </c>
      <c r="G26" s="9" t="inlineStr"/>
      <c r="H26" s="7" t="inlineStr">
        <is>
          <t>Follicular Phase</t>
        </is>
      </c>
      <c r="I26" s="8" t="inlineStr"/>
    </row>
    <row r="27" ht="22" customHeight="1">
      <c r="A27" s="10" t="inlineStr">
        <is>
          <t>2026-11-18</t>
        </is>
      </c>
      <c r="B27" s="10" t="n">
        <v>26</v>
      </c>
      <c r="C27" s="10" t="inlineStr">
        <is>
          <t>Wednesday</t>
        </is>
      </c>
      <c r="D27" s="20" t="inlineStr"/>
      <c r="E27" s="20">
        <f>IF(D27&lt;&gt;"", ROUND(AVERAGE(D21:D27), 2), "")</f>
        <v/>
      </c>
      <c r="F27" s="20">
        <f>IF(D27&lt;&gt;"", ROUND(D27 - Setup!$B$6, 2), "")</f>
        <v/>
      </c>
      <c r="G27" s="12" t="inlineStr"/>
      <c r="H27" s="10" t="inlineStr">
        <is>
          <t>Follicular Phase</t>
        </is>
      </c>
      <c r="I27" s="11" t="inlineStr"/>
    </row>
    <row r="28" ht="22" customHeight="1">
      <c r="A28" s="7" t="inlineStr">
        <is>
          <t>2026-11-19</t>
        </is>
      </c>
      <c r="B28" s="7" t="n">
        <v>27</v>
      </c>
      <c r="C28" s="7" t="inlineStr">
        <is>
          <t>Thursday</t>
        </is>
      </c>
      <c r="D28" s="19" t="inlineStr"/>
      <c r="E28" s="19">
        <f>IF(D28&lt;&gt;"", ROUND(AVERAGE(D22:D28), 2), "")</f>
        <v/>
      </c>
      <c r="F28" s="19">
        <f>IF(D28&lt;&gt;"", ROUND(D28 - Setup!$B$6, 2), "")</f>
        <v/>
      </c>
      <c r="G28" s="9" t="inlineStr"/>
      <c r="H28" s="7" t="inlineStr">
        <is>
          <t>Follicular Phase</t>
        </is>
      </c>
      <c r="I28" s="8" t="inlineStr"/>
    </row>
    <row r="29" ht="22" customHeight="1">
      <c r="A29" s="10" t="inlineStr">
        <is>
          <t>2026-11-20</t>
        </is>
      </c>
      <c r="B29" s="10" t="n">
        <v>28</v>
      </c>
      <c r="C29" s="10" t="inlineStr">
        <is>
          <t>Friday</t>
        </is>
      </c>
      <c r="D29" s="20" t="inlineStr"/>
      <c r="E29" s="20">
        <f>IF(D29&lt;&gt;"", ROUND(AVERAGE(D23:D29), 2), "")</f>
        <v/>
      </c>
      <c r="F29" s="20">
        <f>IF(D29&lt;&gt;"", ROUND(D29 - Setup!$B$6, 2), "")</f>
        <v/>
      </c>
      <c r="G29" s="12" t="inlineStr"/>
      <c r="H29" s="10" t="inlineStr">
        <is>
          <t>Follicular Phase</t>
        </is>
      </c>
      <c r="I29" s="11" t="inlineStr"/>
    </row>
    <row r="30" ht="22" customHeight="1">
      <c r="A30" s="7" t="inlineStr">
        <is>
          <t>2026-11-21</t>
        </is>
      </c>
      <c r="B30" s="7" t="n">
        <v>29</v>
      </c>
      <c r="C30" s="7" t="inlineStr">
        <is>
          <t>Saturday</t>
        </is>
      </c>
      <c r="D30" s="19" t="inlineStr"/>
      <c r="E30" s="19">
        <f>IF(D30&lt;&gt;"", ROUND(AVERAGE(D24:D30), 2), "")</f>
        <v/>
      </c>
      <c r="F30" s="19">
        <f>IF(D30&lt;&gt;"", ROUND(D30 - Setup!$B$6, 2), "")</f>
        <v/>
      </c>
      <c r="G30" s="9" t="inlineStr"/>
      <c r="H30" s="7" t="inlineStr">
        <is>
          <t>Follicular Phase</t>
        </is>
      </c>
      <c r="I30" s="8" t="inlineStr"/>
    </row>
    <row r="31" ht="22" customHeight="1">
      <c r="A31" s="10" t="inlineStr">
        <is>
          <t>2026-11-22</t>
        </is>
      </c>
      <c r="B31" s="10" t="n">
        <v>30</v>
      </c>
      <c r="C31" s="10" t="inlineStr">
        <is>
          <t>Sunday</t>
        </is>
      </c>
      <c r="D31" s="20" t="inlineStr"/>
      <c r="E31" s="20">
        <f>IF(D31&lt;&gt;"", ROUND(AVERAGE(D25:D31), 2), "")</f>
        <v/>
      </c>
      <c r="F31" s="20">
        <f>IF(D31&lt;&gt;"", ROUND(D31 - Setup!$B$6, 2), "")</f>
        <v/>
      </c>
      <c r="G31" s="12" t="inlineStr"/>
      <c r="H31" s="10" t="inlineStr">
        <is>
          <t>Follicular Phase</t>
        </is>
      </c>
      <c r="I31" s="11" t="inlineStr"/>
    </row>
    <row r="32" ht="22" customHeight="1">
      <c r="A32" s="7" t="inlineStr">
        <is>
          <t>2026-11-23</t>
        </is>
      </c>
      <c r="B32" s="7" t="n">
        <v>31</v>
      </c>
      <c r="C32" s="7" t="inlineStr">
        <is>
          <t>Monday</t>
        </is>
      </c>
      <c r="D32" s="19" t="inlineStr"/>
      <c r="E32" s="19">
        <f>IF(D32&lt;&gt;"", ROUND(AVERAGE(D26:D32), 2), "")</f>
        <v/>
      </c>
      <c r="F32" s="19">
        <f>IF(D32&lt;&gt;"", ROUND(D32 - Setup!$B$6, 2), "")</f>
        <v/>
      </c>
      <c r="G32" s="9" t="inlineStr"/>
      <c r="H32" s="7" t="inlineStr">
        <is>
          <t>Follicular Phase</t>
        </is>
      </c>
      <c r="I32" s="8" t="inlineStr"/>
    </row>
    <row r="33" ht="22" customHeight="1">
      <c r="A33" s="10" t="inlineStr">
        <is>
          <t>2026-11-24</t>
        </is>
      </c>
      <c r="B33" s="10" t="n">
        <v>32</v>
      </c>
      <c r="C33" s="10" t="inlineStr">
        <is>
          <t>Tuesday</t>
        </is>
      </c>
      <c r="D33" s="20" t="inlineStr"/>
      <c r="E33" s="20">
        <f>IF(D33&lt;&gt;"", ROUND(AVERAGE(D27:D33), 2), "")</f>
        <v/>
      </c>
      <c r="F33" s="20">
        <f>IF(D33&lt;&gt;"", ROUND(D33 - Setup!$B$6, 2), "")</f>
        <v/>
      </c>
      <c r="G33" s="12" t="inlineStr"/>
      <c r="H33" s="10" t="inlineStr">
        <is>
          <t>Follicular Phase</t>
        </is>
      </c>
      <c r="I33" s="11" t="inlineStr"/>
    </row>
    <row r="34" ht="22" customHeight="1">
      <c r="A34" s="7" t="inlineStr">
        <is>
          <t>2026-11-25</t>
        </is>
      </c>
      <c r="B34" s="7" t="n">
        <v>33</v>
      </c>
      <c r="C34" s="7" t="inlineStr">
        <is>
          <t>Wednesday</t>
        </is>
      </c>
      <c r="D34" s="19" t="inlineStr"/>
      <c r="E34" s="19">
        <f>IF(D34&lt;&gt;"", ROUND(AVERAGE(D28:D34), 2), "")</f>
        <v/>
      </c>
      <c r="F34" s="19">
        <f>IF(D34&lt;&gt;"", ROUND(D34 - Setup!$B$6, 2), "")</f>
        <v/>
      </c>
      <c r="G34" s="9" t="inlineStr"/>
      <c r="H34" s="7" t="inlineStr">
        <is>
          <t>Follicular Phase</t>
        </is>
      </c>
      <c r="I34" s="8" t="inlineStr"/>
    </row>
    <row r="35" ht="22" customHeight="1">
      <c r="A35" s="10" t="inlineStr">
        <is>
          <t>2026-11-26</t>
        </is>
      </c>
      <c r="B35" s="10" t="n">
        <v>34</v>
      </c>
      <c r="C35" s="10" t="inlineStr">
        <is>
          <t>Thursday</t>
        </is>
      </c>
      <c r="D35" s="20" t="inlineStr"/>
      <c r="E35" s="20">
        <f>IF(D35&lt;&gt;"", ROUND(AVERAGE(D29:D35), 2), "")</f>
        <v/>
      </c>
      <c r="F35" s="20">
        <f>IF(D35&lt;&gt;"", ROUND(D35 - Setup!$B$6, 2), "")</f>
        <v/>
      </c>
      <c r="G35" s="12" t="inlineStr"/>
      <c r="H35" s="10" t="inlineStr">
        <is>
          <t>Follicular Phase</t>
        </is>
      </c>
      <c r="I35" s="11" t="inlineStr"/>
    </row>
    <row r="36" ht="22" customHeight="1">
      <c r="A36" s="7" t="inlineStr">
        <is>
          <t>2026-11-27</t>
        </is>
      </c>
      <c r="B36" s="7" t="n">
        <v>35</v>
      </c>
      <c r="C36" s="7" t="inlineStr">
        <is>
          <t>Friday</t>
        </is>
      </c>
      <c r="D36" s="19" t="inlineStr"/>
      <c r="E36" s="19">
        <f>IF(D36&lt;&gt;"", ROUND(AVERAGE(D30:D36), 2), "")</f>
        <v/>
      </c>
      <c r="F36" s="19">
        <f>IF(D36&lt;&gt;"", ROUND(D36 - Setup!$B$6, 2), "")</f>
        <v/>
      </c>
      <c r="G36" s="9" t="inlineStr"/>
      <c r="H36" s="7" t="inlineStr">
        <is>
          <t>Follicular Phase</t>
        </is>
      </c>
      <c r="I36" s="8" t="inlineStr"/>
    </row>
    <row r="37" ht="22" customHeight="1">
      <c r="A37" s="10" t="inlineStr">
        <is>
          <t>2026-11-28</t>
        </is>
      </c>
      <c r="B37" s="10" t="n">
        <v>36</v>
      </c>
      <c r="C37" s="10" t="inlineStr">
        <is>
          <t>Saturday</t>
        </is>
      </c>
      <c r="D37" s="20" t="inlineStr"/>
      <c r="E37" s="20">
        <f>IF(D37&lt;&gt;"", ROUND(AVERAGE(D31:D37), 2), "")</f>
        <v/>
      </c>
      <c r="F37" s="20">
        <f>IF(D37&lt;&gt;"", ROUND(D37 - Setup!$B$6, 2), "")</f>
        <v/>
      </c>
      <c r="G37" s="12" t="inlineStr"/>
      <c r="H37" s="10" t="inlineStr">
        <is>
          <t>Follicular Phase</t>
        </is>
      </c>
      <c r="I37" s="11" t="inlineStr"/>
    </row>
    <row r="38" ht="22" customHeight="1">
      <c r="A38" s="7" t="inlineStr">
        <is>
          <t>2026-11-29</t>
        </is>
      </c>
      <c r="B38" s="7" t="n">
        <v>37</v>
      </c>
      <c r="C38" s="7" t="inlineStr">
        <is>
          <t>Sunday</t>
        </is>
      </c>
      <c r="D38" s="19" t="inlineStr"/>
      <c r="E38" s="19">
        <f>IF(D38&lt;&gt;"", ROUND(AVERAGE(D32:D38), 2), "")</f>
        <v/>
      </c>
      <c r="F38" s="19">
        <f>IF(D38&lt;&gt;"", ROUND(D38 - Setup!$B$6, 2), "")</f>
        <v/>
      </c>
      <c r="G38" s="9" t="inlineStr"/>
      <c r="H38" s="7" t="inlineStr">
        <is>
          <t>Follicular Phase</t>
        </is>
      </c>
      <c r="I38" s="8" t="inlineStr"/>
    </row>
    <row r="39" ht="22" customHeight="1">
      <c r="A39" s="10" t="inlineStr">
        <is>
          <t>2026-11-30</t>
        </is>
      </c>
      <c r="B39" s="10" t="n">
        <v>38</v>
      </c>
      <c r="C39" s="10" t="inlineStr">
        <is>
          <t>Monday</t>
        </is>
      </c>
      <c r="D39" s="20" t="inlineStr"/>
      <c r="E39" s="20">
        <f>IF(D39&lt;&gt;"", ROUND(AVERAGE(D33:D39), 2), "")</f>
        <v/>
      </c>
      <c r="F39" s="20">
        <f>IF(D39&lt;&gt;"", ROUND(D39 - Setup!$B$6, 2), "")</f>
        <v/>
      </c>
      <c r="G39" s="12" t="inlineStr"/>
      <c r="H39" s="10" t="inlineStr">
        <is>
          <t>Follicular Phase</t>
        </is>
      </c>
      <c r="I39" s="11" t="inlineStr"/>
    </row>
    <row r="40" ht="22" customHeight="1">
      <c r="A40" s="7" t="inlineStr">
        <is>
          <t>2026-12-01</t>
        </is>
      </c>
      <c r="B40" s="7" t="n">
        <v>39</v>
      </c>
      <c r="C40" s="7" t="inlineStr">
        <is>
          <t>Tuesday</t>
        </is>
      </c>
      <c r="D40" s="19" t="inlineStr"/>
      <c r="E40" s="19">
        <f>IF(D40&lt;&gt;"", ROUND(AVERAGE(D34:D40), 2), "")</f>
        <v/>
      </c>
      <c r="F40" s="19">
        <f>IF(D40&lt;&gt;"", ROUND(D40 - Setup!$B$6, 2), "")</f>
        <v/>
      </c>
      <c r="G40" s="9" t="inlineStr"/>
      <c r="H40" s="7" t="inlineStr">
        <is>
          <t>Follicular Phase</t>
        </is>
      </c>
      <c r="I40" s="8" t="inlineStr"/>
    </row>
    <row r="41" ht="22" customHeight="1">
      <c r="A41" s="10" t="inlineStr">
        <is>
          <t>2026-12-02</t>
        </is>
      </c>
      <c r="B41" s="10" t="n">
        <v>40</v>
      </c>
      <c r="C41" s="10" t="inlineStr">
        <is>
          <t>Wednesday</t>
        </is>
      </c>
      <c r="D41" s="20" t="inlineStr"/>
      <c r="E41" s="20">
        <f>IF(D41&lt;&gt;"", ROUND(AVERAGE(D35:D41), 2), "")</f>
        <v/>
      </c>
      <c r="F41" s="20">
        <f>IF(D41&lt;&gt;"", ROUND(D41 - Setup!$B$6, 2), "")</f>
        <v/>
      </c>
      <c r="G41" s="12" t="inlineStr"/>
      <c r="H41" s="10" t="inlineStr">
        <is>
          <t>Follicular Phase</t>
        </is>
      </c>
      <c r="I41" s="11" t="inlineStr"/>
    </row>
    <row r="42" ht="22" customHeight="1">
      <c r="A42" s="7" t="inlineStr">
        <is>
          <t>2026-12-03</t>
        </is>
      </c>
      <c r="B42" s="7" t="n">
        <v>41</v>
      </c>
      <c r="C42" s="7" t="inlineStr">
        <is>
          <t>Thursday</t>
        </is>
      </c>
      <c r="D42" s="19" t="inlineStr"/>
      <c r="E42" s="19">
        <f>IF(D42&lt;&gt;"", ROUND(AVERAGE(D36:D42), 2), "")</f>
        <v/>
      </c>
      <c r="F42" s="19">
        <f>IF(D42&lt;&gt;"", ROUND(D42 - Setup!$B$6, 2), "")</f>
        <v/>
      </c>
      <c r="G42" s="9" t="inlineStr"/>
      <c r="H42" s="7" t="inlineStr">
        <is>
          <t>Follicular Phase</t>
        </is>
      </c>
      <c r="I42" s="8" t="inlineStr"/>
    </row>
    <row r="43" ht="22" customHeight="1">
      <c r="A43" s="10" t="inlineStr">
        <is>
          <t>2026-12-04</t>
        </is>
      </c>
      <c r="B43" s="10" t="n">
        <v>42</v>
      </c>
      <c r="C43" s="10" t="inlineStr">
        <is>
          <t>Friday</t>
        </is>
      </c>
      <c r="D43" s="20" t="inlineStr"/>
      <c r="E43" s="20">
        <f>IF(D43&lt;&gt;"", ROUND(AVERAGE(D37:D43), 2), "")</f>
        <v/>
      </c>
      <c r="F43" s="20">
        <f>IF(D43&lt;&gt;"", ROUND(D43 - Setup!$B$6, 2), "")</f>
        <v/>
      </c>
      <c r="G43" s="12" t="inlineStr"/>
      <c r="H43" s="10" t="inlineStr">
        <is>
          <t>Follicular Phase</t>
        </is>
      </c>
      <c r="I43" s="11" t="inlineStr"/>
    </row>
    <row r="44" ht="22" customHeight="1">
      <c r="A44" s="7" t="inlineStr">
        <is>
          <t>2026-12-05</t>
        </is>
      </c>
      <c r="B44" s="7" t="n">
        <v>43</v>
      </c>
      <c r="C44" s="7" t="inlineStr">
        <is>
          <t>Saturday</t>
        </is>
      </c>
      <c r="D44" s="19" t="inlineStr"/>
      <c r="E44" s="19">
        <f>IF(D44&lt;&gt;"", ROUND(AVERAGE(D38:D44), 2), "")</f>
        <v/>
      </c>
      <c r="F44" s="19">
        <f>IF(D44&lt;&gt;"", ROUND(D44 - Setup!$B$6, 2), "")</f>
        <v/>
      </c>
      <c r="G44" s="9" t="inlineStr"/>
      <c r="H44" s="7" t="inlineStr">
        <is>
          <t>Follicular Phase</t>
        </is>
      </c>
      <c r="I44" s="8" t="inlineStr"/>
    </row>
    <row r="45" ht="22" customHeight="1">
      <c r="A45" s="10" t="inlineStr">
        <is>
          <t>2026-12-06</t>
        </is>
      </c>
      <c r="B45" s="10" t="n">
        <v>44</v>
      </c>
      <c r="C45" s="10" t="inlineStr">
        <is>
          <t>Sunday</t>
        </is>
      </c>
      <c r="D45" s="20" t="inlineStr"/>
      <c r="E45" s="20">
        <f>IF(D45&lt;&gt;"", ROUND(AVERAGE(D39:D45), 2), "")</f>
        <v/>
      </c>
      <c r="F45" s="20">
        <f>IF(D45&lt;&gt;"", ROUND(D45 - Setup!$B$6, 2), "")</f>
        <v/>
      </c>
      <c r="G45" s="12" t="inlineStr"/>
      <c r="H45" s="10" t="inlineStr">
        <is>
          <t>Follicular Phase</t>
        </is>
      </c>
      <c r="I45" s="11" t="inlineStr"/>
    </row>
    <row r="46" ht="22" customHeight="1">
      <c r="A46" s="7" t="inlineStr">
        <is>
          <t>2026-12-07</t>
        </is>
      </c>
      <c r="B46" s="7" t="n">
        <v>45</v>
      </c>
      <c r="C46" s="7" t="inlineStr">
        <is>
          <t>Monday</t>
        </is>
      </c>
      <c r="D46" s="19" t="inlineStr"/>
      <c r="E46" s="19">
        <f>IF(D46&lt;&gt;"", ROUND(AVERAGE(D40:D46), 2), "")</f>
        <v/>
      </c>
      <c r="F46" s="19">
        <f>IF(D46&lt;&gt;"", ROUND(D46 - Setup!$B$6, 2), "")</f>
        <v/>
      </c>
      <c r="G46" s="9" t="inlineStr"/>
      <c r="H46" s="7" t="inlineStr">
        <is>
          <t>Follicular Phase</t>
        </is>
      </c>
      <c r="I46" s="8" t="inlineStr"/>
    </row>
    <row r="47" ht="22" customHeight="1">
      <c r="A47" s="10" t="inlineStr">
        <is>
          <t>2026-12-08</t>
        </is>
      </c>
      <c r="B47" s="10" t="n">
        <v>46</v>
      </c>
      <c r="C47" s="10" t="inlineStr">
        <is>
          <t>Tuesday</t>
        </is>
      </c>
      <c r="D47" s="20" t="inlineStr"/>
      <c r="E47" s="20">
        <f>IF(D47&lt;&gt;"", ROUND(AVERAGE(D41:D47), 2), "")</f>
        <v/>
      </c>
      <c r="F47" s="20">
        <f>IF(D47&lt;&gt;"", ROUND(D47 - Setup!$B$6, 2), "")</f>
        <v/>
      </c>
      <c r="G47" s="12" t="inlineStr"/>
      <c r="H47" s="10" t="inlineStr">
        <is>
          <t>Follicular Phase</t>
        </is>
      </c>
      <c r="I47" s="11" t="inlineStr"/>
    </row>
    <row r="48" ht="22" customHeight="1">
      <c r="A48" s="7" t="inlineStr">
        <is>
          <t>2026-12-09</t>
        </is>
      </c>
      <c r="B48" s="7" t="n">
        <v>47</v>
      </c>
      <c r="C48" s="7" t="inlineStr">
        <is>
          <t>Wednesday</t>
        </is>
      </c>
      <c r="D48" s="19" t="inlineStr"/>
      <c r="E48" s="19">
        <f>IF(D48&lt;&gt;"", ROUND(AVERAGE(D42:D48), 2), "")</f>
        <v/>
      </c>
      <c r="F48" s="19">
        <f>IF(D48&lt;&gt;"", ROUND(D48 - Setup!$B$6, 2), "")</f>
        <v/>
      </c>
      <c r="G48" s="9" t="inlineStr"/>
      <c r="H48" s="7" t="inlineStr">
        <is>
          <t>Follicular Phase</t>
        </is>
      </c>
      <c r="I48" s="8" t="inlineStr"/>
    </row>
    <row r="49" ht="22" customHeight="1">
      <c r="A49" s="10" t="inlineStr">
        <is>
          <t>2026-12-10</t>
        </is>
      </c>
      <c r="B49" s="10" t="n">
        <v>48</v>
      </c>
      <c r="C49" s="10" t="inlineStr">
        <is>
          <t>Thursday</t>
        </is>
      </c>
      <c r="D49" s="20" t="inlineStr"/>
      <c r="E49" s="20">
        <f>IF(D49&lt;&gt;"", ROUND(AVERAGE(D43:D49), 2), "")</f>
        <v/>
      </c>
      <c r="F49" s="20">
        <f>IF(D49&lt;&gt;"", ROUND(D49 - Setup!$B$6, 2), "")</f>
        <v/>
      </c>
      <c r="G49" s="12" t="inlineStr"/>
      <c r="H49" s="10" t="inlineStr">
        <is>
          <t>Follicular Phase</t>
        </is>
      </c>
      <c r="I49" s="11" t="inlineStr"/>
    </row>
    <row r="50" ht="22" customHeight="1">
      <c r="A50" s="7" t="inlineStr">
        <is>
          <t>2026-12-11</t>
        </is>
      </c>
      <c r="B50" s="7" t="n">
        <v>49</v>
      </c>
      <c r="C50" s="7" t="inlineStr">
        <is>
          <t>Friday</t>
        </is>
      </c>
      <c r="D50" s="19" t="inlineStr"/>
      <c r="E50" s="19">
        <f>IF(D50&lt;&gt;"", ROUND(AVERAGE(D44:D50), 2), "")</f>
        <v/>
      </c>
      <c r="F50" s="19">
        <f>IF(D50&lt;&gt;"", ROUND(D50 - Setup!$B$6, 2), "")</f>
        <v/>
      </c>
      <c r="G50" s="9" t="inlineStr"/>
      <c r="H50" s="7" t="inlineStr">
        <is>
          <t>Follicular Phase</t>
        </is>
      </c>
      <c r="I50" s="8" t="inlineStr"/>
    </row>
    <row r="51" ht="22" customHeight="1">
      <c r="A51" s="10" t="inlineStr">
        <is>
          <t>2026-12-12</t>
        </is>
      </c>
      <c r="B51" s="10" t="n">
        <v>50</v>
      </c>
      <c r="C51" s="10" t="inlineStr">
        <is>
          <t>Saturday</t>
        </is>
      </c>
      <c r="D51" s="20" t="inlineStr"/>
      <c r="E51" s="20">
        <f>IF(D51&lt;&gt;"", ROUND(AVERAGE(D45:D51), 2), "")</f>
        <v/>
      </c>
      <c r="F51" s="20">
        <f>IF(D51&lt;&gt;"", ROUND(D51 - Setup!$B$6, 2), "")</f>
        <v/>
      </c>
      <c r="G51" s="12" t="inlineStr"/>
      <c r="H51" s="10" t="inlineStr">
        <is>
          <t>Follicular Phase</t>
        </is>
      </c>
      <c r="I51" s="11" t="inlineStr"/>
    </row>
    <row r="52" ht="22" customHeight="1">
      <c r="A52" s="7" t="inlineStr">
        <is>
          <t>2026-12-13</t>
        </is>
      </c>
      <c r="B52" s="7" t="n">
        <v>51</v>
      </c>
      <c r="C52" s="7" t="inlineStr">
        <is>
          <t>Sunday</t>
        </is>
      </c>
      <c r="D52" s="19" t="inlineStr"/>
      <c r="E52" s="19">
        <f>IF(D52&lt;&gt;"", ROUND(AVERAGE(D46:D52), 2), "")</f>
        <v/>
      </c>
      <c r="F52" s="19">
        <f>IF(D52&lt;&gt;"", ROUND(D52 - Setup!$B$6, 2), "")</f>
        <v/>
      </c>
      <c r="G52" s="9" t="inlineStr"/>
      <c r="H52" s="7" t="inlineStr">
        <is>
          <t>Follicular Phase</t>
        </is>
      </c>
      <c r="I52" s="8" t="inlineStr"/>
    </row>
    <row r="53" ht="22" customHeight="1">
      <c r="A53" s="10" t="inlineStr">
        <is>
          <t>2026-12-14</t>
        </is>
      </c>
      <c r="B53" s="10" t="n">
        <v>52</v>
      </c>
      <c r="C53" s="10" t="inlineStr">
        <is>
          <t>Monday</t>
        </is>
      </c>
      <c r="D53" s="20" t="inlineStr"/>
      <c r="E53" s="20">
        <f>IF(D53&lt;&gt;"", ROUND(AVERAGE(D47:D53), 2), "")</f>
        <v/>
      </c>
      <c r="F53" s="20">
        <f>IF(D53&lt;&gt;"", ROUND(D53 - Setup!$B$6, 2), "")</f>
        <v/>
      </c>
      <c r="G53" s="12" t="inlineStr"/>
      <c r="H53" s="10" t="inlineStr">
        <is>
          <t>Follicular Phase</t>
        </is>
      </c>
      <c r="I53" s="11" t="inlineStr"/>
    </row>
    <row r="54" ht="22" customHeight="1">
      <c r="A54" s="7" t="inlineStr">
        <is>
          <t>2026-12-15</t>
        </is>
      </c>
      <c r="B54" s="7" t="n">
        <v>53</v>
      </c>
      <c r="C54" s="7" t="inlineStr">
        <is>
          <t>Tuesday</t>
        </is>
      </c>
      <c r="D54" s="19" t="inlineStr"/>
      <c r="E54" s="19">
        <f>IF(D54&lt;&gt;"", ROUND(AVERAGE(D48:D54), 2), "")</f>
        <v/>
      </c>
      <c r="F54" s="19">
        <f>IF(D54&lt;&gt;"", ROUND(D54 - Setup!$B$6, 2), "")</f>
        <v/>
      </c>
      <c r="G54" s="9" t="inlineStr"/>
      <c r="H54" s="7" t="inlineStr">
        <is>
          <t>Follicular Phase</t>
        </is>
      </c>
      <c r="I54" s="8" t="inlineStr"/>
    </row>
    <row r="55" ht="22" customHeight="1">
      <c r="A55" s="10" t="inlineStr">
        <is>
          <t>2026-12-16</t>
        </is>
      </c>
      <c r="B55" s="10" t="n">
        <v>54</v>
      </c>
      <c r="C55" s="10" t="inlineStr">
        <is>
          <t>Wednesday</t>
        </is>
      </c>
      <c r="D55" s="20" t="inlineStr"/>
      <c r="E55" s="20">
        <f>IF(D55&lt;&gt;"", ROUND(AVERAGE(D49:D55), 2), "")</f>
        <v/>
      </c>
      <c r="F55" s="20">
        <f>IF(D55&lt;&gt;"", ROUND(D55 - Setup!$B$6, 2), "")</f>
        <v/>
      </c>
      <c r="G55" s="12" t="inlineStr"/>
      <c r="H55" s="10" t="inlineStr">
        <is>
          <t>Follicular Phase</t>
        </is>
      </c>
      <c r="I55" s="11" t="inlineStr"/>
    </row>
    <row r="56" ht="22" customHeight="1">
      <c r="A56" s="7" t="inlineStr">
        <is>
          <t>2026-12-17</t>
        </is>
      </c>
      <c r="B56" s="7" t="n">
        <v>55</v>
      </c>
      <c r="C56" s="7" t="inlineStr">
        <is>
          <t>Thursday</t>
        </is>
      </c>
      <c r="D56" s="19" t="inlineStr"/>
      <c r="E56" s="19">
        <f>IF(D56&lt;&gt;"", ROUND(AVERAGE(D50:D56), 2), "")</f>
        <v/>
      </c>
      <c r="F56" s="19">
        <f>IF(D56&lt;&gt;"", ROUND(D56 - Setup!$B$6, 2), "")</f>
        <v/>
      </c>
      <c r="G56" s="9" t="inlineStr"/>
      <c r="H56" s="7" t="inlineStr">
        <is>
          <t>Follicular Phase</t>
        </is>
      </c>
      <c r="I56" s="8" t="inlineStr"/>
    </row>
    <row r="57" ht="22" customHeight="1">
      <c r="A57" s="10" t="inlineStr">
        <is>
          <t>2026-12-18</t>
        </is>
      </c>
      <c r="B57" s="10" t="n">
        <v>56</v>
      </c>
      <c r="C57" s="10" t="inlineStr">
        <is>
          <t>Friday</t>
        </is>
      </c>
      <c r="D57" s="20" t="inlineStr"/>
      <c r="E57" s="20">
        <f>IF(D57&lt;&gt;"", ROUND(AVERAGE(D51:D57), 2), "")</f>
        <v/>
      </c>
      <c r="F57" s="20">
        <f>IF(D57&lt;&gt;"", ROUND(D57 - Setup!$B$6, 2), "")</f>
        <v/>
      </c>
      <c r="G57" s="12" t="inlineStr"/>
      <c r="H57" s="10" t="inlineStr">
        <is>
          <t>Follicular Phase</t>
        </is>
      </c>
      <c r="I57" s="11" t="inlineStr"/>
    </row>
    <row r="58" ht="22" customHeight="1">
      <c r="A58" s="7" t="inlineStr">
        <is>
          <t>2026-12-19</t>
        </is>
      </c>
      <c r="B58" s="7" t="n">
        <v>57</v>
      </c>
      <c r="C58" s="7" t="inlineStr">
        <is>
          <t>Saturday</t>
        </is>
      </c>
      <c r="D58" s="19" t="inlineStr"/>
      <c r="E58" s="19">
        <f>IF(D58&lt;&gt;"", ROUND(AVERAGE(D52:D58), 2), "")</f>
        <v/>
      </c>
      <c r="F58" s="19">
        <f>IF(D58&lt;&gt;"", ROUND(D58 - Setup!$B$6, 2), "")</f>
        <v/>
      </c>
      <c r="G58" s="9" t="inlineStr"/>
      <c r="H58" s="7" t="inlineStr">
        <is>
          <t>Follicular Phase</t>
        </is>
      </c>
      <c r="I58" s="8" t="inlineStr"/>
    </row>
    <row r="59" ht="22" customHeight="1">
      <c r="A59" s="10" t="inlineStr">
        <is>
          <t>2026-12-20</t>
        </is>
      </c>
      <c r="B59" s="10" t="n">
        <v>58</v>
      </c>
      <c r="C59" s="10" t="inlineStr">
        <is>
          <t>Sunday</t>
        </is>
      </c>
      <c r="D59" s="20" t="inlineStr"/>
      <c r="E59" s="20">
        <f>IF(D59&lt;&gt;"", ROUND(AVERAGE(D53:D59), 2), "")</f>
        <v/>
      </c>
      <c r="F59" s="20">
        <f>IF(D59&lt;&gt;"", ROUND(D59 - Setup!$B$6, 2), "")</f>
        <v/>
      </c>
      <c r="G59" s="12" t="inlineStr"/>
      <c r="H59" s="10" t="inlineStr">
        <is>
          <t>Follicular Phase</t>
        </is>
      </c>
      <c r="I59" s="11" t="inlineStr"/>
    </row>
    <row r="60" ht="22" customHeight="1">
      <c r="A60" s="7" t="inlineStr">
        <is>
          <t>2026-12-21</t>
        </is>
      </c>
      <c r="B60" s="7" t="n">
        <v>59</v>
      </c>
      <c r="C60" s="7" t="inlineStr">
        <is>
          <t>Monday</t>
        </is>
      </c>
      <c r="D60" s="19" t="inlineStr"/>
      <c r="E60" s="19">
        <f>IF(D60&lt;&gt;"", ROUND(AVERAGE(D54:D60), 2), "")</f>
        <v/>
      </c>
      <c r="F60" s="19">
        <f>IF(D60&lt;&gt;"", ROUND(D60 - Setup!$B$6, 2), "")</f>
        <v/>
      </c>
      <c r="G60" s="9" t="inlineStr"/>
      <c r="H60" s="7" t="inlineStr">
        <is>
          <t>Follicular Phase</t>
        </is>
      </c>
      <c r="I60" s="8" t="inlineStr"/>
    </row>
    <row r="61" ht="22" customHeight="1">
      <c r="A61" s="10" t="inlineStr">
        <is>
          <t>2026-12-22</t>
        </is>
      </c>
      <c r="B61" s="10" t="n">
        <v>60</v>
      </c>
      <c r="C61" s="10" t="inlineStr">
        <is>
          <t>Tuesday</t>
        </is>
      </c>
      <c r="D61" s="20" t="inlineStr"/>
      <c r="E61" s="20">
        <f>IF(D61&lt;&gt;"", ROUND(AVERAGE(D55:D61), 2), "")</f>
        <v/>
      </c>
      <c r="F61" s="20">
        <f>IF(D61&lt;&gt;"", ROUND(D61 - Setup!$B$6, 2), "")</f>
        <v/>
      </c>
      <c r="G61" s="12" t="inlineStr"/>
      <c r="H61" s="10" t="inlineStr">
        <is>
          <t>Follicular Phase</t>
        </is>
      </c>
      <c r="I61" s="11" t="inlineStr"/>
    </row>
    <row r="62" ht="22" customHeight="1">
      <c r="A62" s="7" t="inlineStr">
        <is>
          <t>2026-12-23</t>
        </is>
      </c>
      <c r="B62" s="7" t="n">
        <v>61</v>
      </c>
      <c r="C62" s="7" t="inlineStr">
        <is>
          <t>Wednesday</t>
        </is>
      </c>
      <c r="D62" s="19" t="inlineStr"/>
      <c r="E62" s="19">
        <f>IF(D62&lt;&gt;"", ROUND(AVERAGE(D56:D62), 2), "")</f>
        <v/>
      </c>
      <c r="F62" s="19">
        <f>IF(D62&lt;&gt;"", ROUND(D62 - Setup!$B$6, 2), "")</f>
        <v/>
      </c>
      <c r="G62" s="9" t="inlineStr"/>
      <c r="H62" s="7" t="inlineStr">
        <is>
          <t>Follicular Phase</t>
        </is>
      </c>
      <c r="I62" s="8" t="inlineStr"/>
    </row>
    <row r="63" ht="22" customHeight="1">
      <c r="A63" s="10" t="inlineStr">
        <is>
          <t>2026-12-24</t>
        </is>
      </c>
      <c r="B63" s="10" t="n">
        <v>62</v>
      </c>
      <c r="C63" s="10" t="inlineStr">
        <is>
          <t>Thursday</t>
        </is>
      </c>
      <c r="D63" s="20" t="inlineStr"/>
      <c r="E63" s="20">
        <f>IF(D63&lt;&gt;"", ROUND(AVERAGE(D57:D63), 2), "")</f>
        <v/>
      </c>
      <c r="F63" s="20">
        <f>IF(D63&lt;&gt;"", ROUND(D63 - Setup!$B$6, 2), "")</f>
        <v/>
      </c>
      <c r="G63" s="12" t="inlineStr"/>
      <c r="H63" s="10" t="inlineStr">
        <is>
          <t>Follicular Phase</t>
        </is>
      </c>
      <c r="I63" s="11" t="inlineStr"/>
    </row>
    <row r="64" ht="22" customHeight="1">
      <c r="A64" s="7" t="inlineStr">
        <is>
          <t>2026-12-25</t>
        </is>
      </c>
      <c r="B64" s="7" t="n">
        <v>63</v>
      </c>
      <c r="C64" s="7" t="inlineStr">
        <is>
          <t>Friday</t>
        </is>
      </c>
      <c r="D64" s="19" t="inlineStr"/>
      <c r="E64" s="19">
        <f>IF(D64&lt;&gt;"", ROUND(AVERAGE(D58:D64), 2), "")</f>
        <v/>
      </c>
      <c r="F64" s="19">
        <f>IF(D64&lt;&gt;"", ROUND(D64 - Setup!$B$6, 2), "")</f>
        <v/>
      </c>
      <c r="G64" s="9" t="inlineStr"/>
      <c r="H64" s="7" t="inlineStr">
        <is>
          <t>Follicular Phase</t>
        </is>
      </c>
      <c r="I64" s="8" t="inlineStr"/>
    </row>
    <row r="65" ht="22" customHeight="1">
      <c r="A65" s="10" t="inlineStr">
        <is>
          <t>2026-12-26</t>
        </is>
      </c>
      <c r="B65" s="10" t="n">
        <v>64</v>
      </c>
      <c r="C65" s="10" t="inlineStr">
        <is>
          <t>Saturday</t>
        </is>
      </c>
      <c r="D65" s="20" t="inlineStr"/>
      <c r="E65" s="20">
        <f>IF(D65&lt;&gt;"", ROUND(AVERAGE(D59:D65), 2), "")</f>
        <v/>
      </c>
      <c r="F65" s="20">
        <f>IF(D65&lt;&gt;"", ROUND(D65 - Setup!$B$6, 2), "")</f>
        <v/>
      </c>
      <c r="G65" s="12" t="inlineStr"/>
      <c r="H65" s="10" t="inlineStr">
        <is>
          <t>Follicular Phase</t>
        </is>
      </c>
      <c r="I65" s="11" t="inlineStr"/>
    </row>
    <row r="66" ht="22" customHeight="1">
      <c r="A66" s="7" t="inlineStr">
        <is>
          <t>2026-12-27</t>
        </is>
      </c>
      <c r="B66" s="7" t="n">
        <v>65</v>
      </c>
      <c r="C66" s="7" t="inlineStr">
        <is>
          <t>Sunday</t>
        </is>
      </c>
      <c r="D66" s="19" t="inlineStr"/>
      <c r="E66" s="19">
        <f>IF(D66&lt;&gt;"", ROUND(AVERAGE(D60:D66), 2), "")</f>
        <v/>
      </c>
      <c r="F66" s="19">
        <f>IF(D66&lt;&gt;"", ROUND(D66 - Setup!$B$6, 2), "")</f>
        <v/>
      </c>
      <c r="G66" s="9" t="inlineStr"/>
      <c r="H66" s="7" t="inlineStr">
        <is>
          <t>Follicular Phase</t>
        </is>
      </c>
      <c r="I66" s="8" t="inlineStr"/>
    </row>
    <row r="67" ht="22" customHeight="1">
      <c r="A67" s="10" t="inlineStr">
        <is>
          <t>2026-12-28</t>
        </is>
      </c>
      <c r="B67" s="10" t="n">
        <v>66</v>
      </c>
      <c r="C67" s="10" t="inlineStr">
        <is>
          <t>Monday</t>
        </is>
      </c>
      <c r="D67" s="20" t="inlineStr"/>
      <c r="E67" s="20">
        <f>IF(D67&lt;&gt;"", ROUND(AVERAGE(D61:D67), 2), "")</f>
        <v/>
      </c>
      <c r="F67" s="20">
        <f>IF(D67&lt;&gt;"", ROUND(D67 - Setup!$B$6, 2), "")</f>
        <v/>
      </c>
      <c r="G67" s="12" t="inlineStr"/>
      <c r="H67" s="10" t="inlineStr">
        <is>
          <t>Follicular Phase</t>
        </is>
      </c>
      <c r="I67" s="11" t="inlineStr"/>
    </row>
    <row r="68" ht="22" customHeight="1">
      <c r="A68" s="7" t="inlineStr">
        <is>
          <t>2026-12-29</t>
        </is>
      </c>
      <c r="B68" s="7" t="n">
        <v>67</v>
      </c>
      <c r="C68" s="7" t="inlineStr">
        <is>
          <t>Tuesday</t>
        </is>
      </c>
      <c r="D68" s="19" t="inlineStr"/>
      <c r="E68" s="19">
        <f>IF(D68&lt;&gt;"", ROUND(AVERAGE(D62:D68), 2), "")</f>
        <v/>
      </c>
      <c r="F68" s="19">
        <f>IF(D68&lt;&gt;"", ROUND(D68 - Setup!$B$6, 2), "")</f>
        <v/>
      </c>
      <c r="G68" s="9" t="inlineStr"/>
      <c r="H68" s="7" t="inlineStr">
        <is>
          <t>Follicular Phase</t>
        </is>
      </c>
      <c r="I68" s="8" t="inlineStr"/>
    </row>
    <row r="69" ht="22" customHeight="1">
      <c r="A69" s="10" t="inlineStr">
        <is>
          <t>2026-12-30</t>
        </is>
      </c>
      <c r="B69" s="10" t="n">
        <v>68</v>
      </c>
      <c r="C69" s="10" t="inlineStr">
        <is>
          <t>Wednesday</t>
        </is>
      </c>
      <c r="D69" s="20" t="inlineStr"/>
      <c r="E69" s="20">
        <f>IF(D69&lt;&gt;"", ROUND(AVERAGE(D63:D69), 2), "")</f>
        <v/>
      </c>
      <c r="F69" s="20">
        <f>IF(D69&lt;&gt;"", ROUND(D69 - Setup!$B$6, 2), "")</f>
        <v/>
      </c>
      <c r="G69" s="12" t="inlineStr"/>
      <c r="H69" s="10" t="inlineStr">
        <is>
          <t>Follicular Phase</t>
        </is>
      </c>
      <c r="I69" s="11" t="inlineStr"/>
    </row>
    <row r="70" ht="22" customHeight="1">
      <c r="A70" s="7" t="inlineStr">
        <is>
          <t>2026-12-31</t>
        </is>
      </c>
      <c r="B70" s="7" t="n">
        <v>69</v>
      </c>
      <c r="C70" s="7" t="inlineStr">
        <is>
          <t>Thursday</t>
        </is>
      </c>
      <c r="D70" s="19" t="inlineStr"/>
      <c r="E70" s="19">
        <f>IF(D70&lt;&gt;"", ROUND(AVERAGE(D64:D70), 2), "")</f>
        <v/>
      </c>
      <c r="F70" s="19">
        <f>IF(D70&lt;&gt;"", ROUND(D70 - Setup!$B$6, 2), "")</f>
        <v/>
      </c>
      <c r="G70" s="9" t="inlineStr"/>
      <c r="H70" s="7" t="inlineStr">
        <is>
          <t>Follicular Phase</t>
        </is>
      </c>
      <c r="I70" s="8" t="inlineStr"/>
    </row>
    <row r="71" ht="22" customHeight="1">
      <c r="A71" s="10" t="inlineStr">
        <is>
          <t>2027-01-01</t>
        </is>
      </c>
      <c r="B71" s="10" t="n">
        <v>70</v>
      </c>
      <c r="C71" s="10" t="inlineStr">
        <is>
          <t>Friday</t>
        </is>
      </c>
      <c r="D71" s="20" t="inlineStr"/>
      <c r="E71" s="20">
        <f>IF(D71&lt;&gt;"", ROUND(AVERAGE(D65:D71), 2), "")</f>
        <v/>
      </c>
      <c r="F71" s="20">
        <f>IF(D71&lt;&gt;"", ROUND(D71 - Setup!$B$6, 2), "")</f>
        <v/>
      </c>
      <c r="G71" s="12" t="inlineStr"/>
      <c r="H71" s="10" t="inlineStr">
        <is>
          <t>Follicular Phase</t>
        </is>
      </c>
      <c r="I71" s="11" t="inlineStr"/>
    </row>
    <row r="72" ht="22" customHeight="1">
      <c r="A72" s="7" t="inlineStr">
        <is>
          <t>2027-01-02</t>
        </is>
      </c>
      <c r="B72" s="7" t="n">
        <v>71</v>
      </c>
      <c r="C72" s="7" t="inlineStr">
        <is>
          <t>Saturday</t>
        </is>
      </c>
      <c r="D72" s="19" t="inlineStr"/>
      <c r="E72" s="19">
        <f>IF(D72&lt;&gt;"", ROUND(AVERAGE(D66:D72), 2), "")</f>
        <v/>
      </c>
      <c r="F72" s="19">
        <f>IF(D72&lt;&gt;"", ROUND(D72 - Setup!$B$6, 2), "")</f>
        <v/>
      </c>
      <c r="G72" s="9" t="inlineStr"/>
      <c r="H72" s="7" t="inlineStr">
        <is>
          <t>Follicular Phase</t>
        </is>
      </c>
      <c r="I72" s="8" t="inlineStr"/>
    </row>
    <row r="73" ht="22" customHeight="1">
      <c r="A73" s="10" t="inlineStr">
        <is>
          <t>2027-01-03</t>
        </is>
      </c>
      <c r="B73" s="10" t="n">
        <v>72</v>
      </c>
      <c r="C73" s="10" t="inlineStr">
        <is>
          <t>Sunday</t>
        </is>
      </c>
      <c r="D73" s="20" t="inlineStr"/>
      <c r="E73" s="20">
        <f>IF(D73&lt;&gt;"", ROUND(AVERAGE(D67:D73), 2), "")</f>
        <v/>
      </c>
      <c r="F73" s="20">
        <f>IF(D73&lt;&gt;"", ROUND(D73 - Setup!$B$6, 2), "")</f>
        <v/>
      </c>
      <c r="G73" s="12" t="inlineStr"/>
      <c r="H73" s="10" t="inlineStr">
        <is>
          <t>Follicular Phase</t>
        </is>
      </c>
      <c r="I73" s="11" t="inlineStr"/>
    </row>
    <row r="74" ht="22" customHeight="1">
      <c r="A74" s="7" t="inlineStr">
        <is>
          <t>2027-01-04</t>
        </is>
      </c>
      <c r="B74" s="7" t="n">
        <v>73</v>
      </c>
      <c r="C74" s="7" t="inlineStr">
        <is>
          <t>Monday</t>
        </is>
      </c>
      <c r="D74" s="19" t="inlineStr"/>
      <c r="E74" s="19">
        <f>IF(D74&lt;&gt;"", ROUND(AVERAGE(D68:D74), 2), "")</f>
        <v/>
      </c>
      <c r="F74" s="19">
        <f>IF(D74&lt;&gt;"", ROUND(D74 - Setup!$B$6, 2), "")</f>
        <v/>
      </c>
      <c r="G74" s="9" t="inlineStr"/>
      <c r="H74" s="7" t="inlineStr">
        <is>
          <t>Follicular Phase</t>
        </is>
      </c>
      <c r="I74" s="8" t="inlineStr"/>
    </row>
    <row r="75" ht="22" customHeight="1">
      <c r="A75" s="10" t="inlineStr">
        <is>
          <t>2027-01-05</t>
        </is>
      </c>
      <c r="B75" s="10" t="n">
        <v>74</v>
      </c>
      <c r="C75" s="10" t="inlineStr">
        <is>
          <t>Tuesday</t>
        </is>
      </c>
      <c r="D75" s="20" t="inlineStr"/>
      <c r="E75" s="20">
        <f>IF(D75&lt;&gt;"", ROUND(AVERAGE(D69:D75), 2), "")</f>
        <v/>
      </c>
      <c r="F75" s="20">
        <f>IF(D75&lt;&gt;"", ROUND(D75 - Setup!$B$6, 2), "")</f>
        <v/>
      </c>
      <c r="G75" s="12" t="inlineStr"/>
      <c r="H75" s="10" t="inlineStr">
        <is>
          <t>Follicular Phase</t>
        </is>
      </c>
      <c r="I75" s="11" t="inlineStr"/>
    </row>
    <row r="76" ht="22" customHeight="1">
      <c r="A76" s="7" t="inlineStr">
        <is>
          <t>2027-01-06</t>
        </is>
      </c>
      <c r="B76" s="7" t="n">
        <v>75</v>
      </c>
      <c r="C76" s="7" t="inlineStr">
        <is>
          <t>Wednesday</t>
        </is>
      </c>
      <c r="D76" s="19" t="inlineStr"/>
      <c r="E76" s="19">
        <f>IF(D76&lt;&gt;"", ROUND(AVERAGE(D70:D76), 2), "")</f>
        <v/>
      </c>
      <c r="F76" s="19">
        <f>IF(D76&lt;&gt;"", ROUND(D76 - Setup!$B$6, 2), "")</f>
        <v/>
      </c>
      <c r="G76" s="9" t="inlineStr"/>
      <c r="H76" s="7" t="inlineStr">
        <is>
          <t>Follicular Phase</t>
        </is>
      </c>
      <c r="I76" s="8" t="inlineStr"/>
    </row>
    <row r="77" ht="22" customHeight="1">
      <c r="A77" s="10" t="inlineStr">
        <is>
          <t>2027-01-07</t>
        </is>
      </c>
      <c r="B77" s="10" t="n">
        <v>76</v>
      </c>
      <c r="C77" s="10" t="inlineStr">
        <is>
          <t>Thursday</t>
        </is>
      </c>
      <c r="D77" s="20" t="inlineStr"/>
      <c r="E77" s="20">
        <f>IF(D77&lt;&gt;"", ROUND(AVERAGE(D71:D77), 2), "")</f>
        <v/>
      </c>
      <c r="F77" s="20">
        <f>IF(D77&lt;&gt;"", ROUND(D77 - Setup!$B$6, 2), "")</f>
        <v/>
      </c>
      <c r="G77" s="12" t="inlineStr"/>
      <c r="H77" s="10" t="inlineStr">
        <is>
          <t>Follicular Phase</t>
        </is>
      </c>
      <c r="I77" s="11" t="inlineStr"/>
    </row>
    <row r="78" ht="22" customHeight="1">
      <c r="A78" s="7" t="inlineStr">
        <is>
          <t>2027-01-08</t>
        </is>
      </c>
      <c r="B78" s="7" t="n">
        <v>77</v>
      </c>
      <c r="C78" s="7" t="inlineStr">
        <is>
          <t>Friday</t>
        </is>
      </c>
      <c r="D78" s="19" t="inlineStr"/>
      <c r="E78" s="19">
        <f>IF(D78&lt;&gt;"", ROUND(AVERAGE(D72:D78), 2), "")</f>
        <v/>
      </c>
      <c r="F78" s="19">
        <f>IF(D78&lt;&gt;"", ROUND(D78 - Setup!$B$6, 2), "")</f>
        <v/>
      </c>
      <c r="G78" s="9" t="inlineStr"/>
      <c r="H78" s="7" t="inlineStr">
        <is>
          <t>Follicular Phase</t>
        </is>
      </c>
      <c r="I78" s="8" t="inlineStr"/>
    </row>
    <row r="79" ht="22" customHeight="1">
      <c r="A79" s="10" t="inlineStr">
        <is>
          <t>2027-01-09</t>
        </is>
      </c>
      <c r="B79" s="10" t="n">
        <v>78</v>
      </c>
      <c r="C79" s="10" t="inlineStr">
        <is>
          <t>Saturday</t>
        </is>
      </c>
      <c r="D79" s="20" t="inlineStr"/>
      <c r="E79" s="20">
        <f>IF(D79&lt;&gt;"", ROUND(AVERAGE(D73:D79), 2), "")</f>
        <v/>
      </c>
      <c r="F79" s="20">
        <f>IF(D79&lt;&gt;"", ROUND(D79 - Setup!$B$6, 2), "")</f>
        <v/>
      </c>
      <c r="G79" s="12" t="inlineStr"/>
      <c r="H79" s="10" t="inlineStr">
        <is>
          <t>Follicular Phase</t>
        </is>
      </c>
      <c r="I79" s="11" t="inlineStr"/>
    </row>
    <row r="80" ht="22" customHeight="1">
      <c r="A80" s="7" t="inlineStr">
        <is>
          <t>2027-01-10</t>
        </is>
      </c>
      <c r="B80" s="7" t="n">
        <v>79</v>
      </c>
      <c r="C80" s="7" t="inlineStr">
        <is>
          <t>Sunday</t>
        </is>
      </c>
      <c r="D80" s="19" t="inlineStr"/>
      <c r="E80" s="19">
        <f>IF(D80&lt;&gt;"", ROUND(AVERAGE(D74:D80), 2), "")</f>
        <v/>
      </c>
      <c r="F80" s="19">
        <f>IF(D80&lt;&gt;"", ROUND(D80 - Setup!$B$6, 2), "")</f>
        <v/>
      </c>
      <c r="G80" s="9" t="inlineStr"/>
      <c r="H80" s="7" t="inlineStr">
        <is>
          <t>Follicular Phase</t>
        </is>
      </c>
      <c r="I80" s="8" t="inlineStr"/>
    </row>
    <row r="81" ht="22" customHeight="1">
      <c r="A81" s="10" t="inlineStr">
        <is>
          <t>2027-01-11</t>
        </is>
      </c>
      <c r="B81" s="10" t="n">
        <v>80</v>
      </c>
      <c r="C81" s="10" t="inlineStr">
        <is>
          <t>Monday</t>
        </is>
      </c>
      <c r="D81" s="20" t="inlineStr"/>
      <c r="E81" s="20">
        <f>IF(D81&lt;&gt;"", ROUND(AVERAGE(D75:D81), 2), "")</f>
        <v/>
      </c>
      <c r="F81" s="20">
        <f>IF(D81&lt;&gt;"", ROUND(D81 - Setup!$B$6, 2), "")</f>
        <v/>
      </c>
      <c r="G81" s="12" t="inlineStr"/>
      <c r="H81" s="10" t="inlineStr">
        <is>
          <t>Follicular Phase</t>
        </is>
      </c>
      <c r="I81" s="11" t="inlineStr"/>
    </row>
    <row r="82" ht="22" customHeight="1">
      <c r="A82" s="7" t="inlineStr">
        <is>
          <t>2027-01-12</t>
        </is>
      </c>
      <c r="B82" s="7" t="n">
        <v>81</v>
      </c>
      <c r="C82" s="7" t="inlineStr">
        <is>
          <t>Tuesday</t>
        </is>
      </c>
      <c r="D82" s="19" t="inlineStr"/>
      <c r="E82" s="19">
        <f>IF(D82&lt;&gt;"", ROUND(AVERAGE(D76:D82), 2), "")</f>
        <v/>
      </c>
      <c r="F82" s="19">
        <f>IF(D82&lt;&gt;"", ROUND(D82 - Setup!$B$6, 2), "")</f>
        <v/>
      </c>
      <c r="G82" s="9" t="inlineStr"/>
      <c r="H82" s="7" t="inlineStr">
        <is>
          <t>Follicular Phase</t>
        </is>
      </c>
      <c r="I82" s="8" t="inlineStr"/>
    </row>
    <row r="83" ht="22" customHeight="1">
      <c r="A83" s="10" t="inlineStr">
        <is>
          <t>2027-01-13</t>
        </is>
      </c>
      <c r="B83" s="10" t="n">
        <v>82</v>
      </c>
      <c r="C83" s="10" t="inlineStr">
        <is>
          <t>Wednesday</t>
        </is>
      </c>
      <c r="D83" s="20" t="inlineStr"/>
      <c r="E83" s="20">
        <f>IF(D83&lt;&gt;"", ROUND(AVERAGE(D77:D83), 2), "")</f>
        <v/>
      </c>
      <c r="F83" s="20">
        <f>IF(D83&lt;&gt;"", ROUND(D83 - Setup!$B$6, 2), "")</f>
        <v/>
      </c>
      <c r="G83" s="12" t="inlineStr"/>
      <c r="H83" s="10" t="inlineStr">
        <is>
          <t>Follicular Phase</t>
        </is>
      </c>
      <c r="I83" s="11" t="inlineStr"/>
    </row>
    <row r="84" ht="22" customHeight="1">
      <c r="A84" s="7" t="inlineStr">
        <is>
          <t>2027-01-14</t>
        </is>
      </c>
      <c r="B84" s="7" t="n">
        <v>83</v>
      </c>
      <c r="C84" s="7" t="inlineStr">
        <is>
          <t>Thursday</t>
        </is>
      </c>
      <c r="D84" s="19" t="inlineStr"/>
      <c r="E84" s="19">
        <f>IF(D84&lt;&gt;"", ROUND(AVERAGE(D78:D84), 2), "")</f>
        <v/>
      </c>
      <c r="F84" s="19">
        <f>IF(D84&lt;&gt;"", ROUND(D84 - Setup!$B$6, 2), "")</f>
        <v/>
      </c>
      <c r="G84" s="9" t="inlineStr"/>
      <c r="H84" s="7" t="inlineStr">
        <is>
          <t>Follicular Phase</t>
        </is>
      </c>
      <c r="I84" s="8" t="inlineStr"/>
    </row>
    <row r="85" ht="22" customHeight="1">
      <c r="A85" s="10" t="inlineStr">
        <is>
          <t>2027-01-15</t>
        </is>
      </c>
      <c r="B85" s="10" t="n">
        <v>84</v>
      </c>
      <c r="C85" s="10" t="inlineStr">
        <is>
          <t>Friday</t>
        </is>
      </c>
      <c r="D85" s="20" t="inlineStr"/>
      <c r="E85" s="20">
        <f>IF(D85&lt;&gt;"", ROUND(AVERAGE(D79:D85), 2), "")</f>
        <v/>
      </c>
      <c r="F85" s="20">
        <f>IF(D85&lt;&gt;"", ROUND(D85 - Setup!$B$6, 2), "")</f>
        <v/>
      </c>
      <c r="G85" s="12" t="inlineStr"/>
      <c r="H85" s="10" t="inlineStr">
        <is>
          <t>Follicular Phase</t>
        </is>
      </c>
      <c r="I85" s="11" t="inlineStr"/>
    </row>
    <row r="86" ht="22" customHeight="1">
      <c r="A86" s="7" t="inlineStr">
        <is>
          <t>2027-01-16</t>
        </is>
      </c>
      <c r="B86" s="7" t="n">
        <v>85</v>
      </c>
      <c r="C86" s="7" t="inlineStr">
        <is>
          <t>Saturday</t>
        </is>
      </c>
      <c r="D86" s="19" t="inlineStr"/>
      <c r="E86" s="19">
        <f>IF(D86&lt;&gt;"", ROUND(AVERAGE(D80:D86), 2), "")</f>
        <v/>
      </c>
      <c r="F86" s="19">
        <f>IF(D86&lt;&gt;"", ROUND(D86 - Setup!$B$6, 2), "")</f>
        <v/>
      </c>
      <c r="G86" s="9" t="inlineStr"/>
      <c r="H86" s="7" t="inlineStr">
        <is>
          <t>Follicular Phase</t>
        </is>
      </c>
      <c r="I86" s="8" t="inlineStr"/>
    </row>
    <row r="87" ht="22" customHeight="1">
      <c r="A87" s="10" t="inlineStr">
        <is>
          <t>2027-01-17</t>
        </is>
      </c>
      <c r="B87" s="10" t="n">
        <v>86</v>
      </c>
      <c r="C87" s="10" t="inlineStr">
        <is>
          <t>Sunday</t>
        </is>
      </c>
      <c r="D87" s="20" t="inlineStr"/>
      <c r="E87" s="20">
        <f>IF(D87&lt;&gt;"", ROUND(AVERAGE(D81:D87), 2), "")</f>
        <v/>
      </c>
      <c r="F87" s="20">
        <f>IF(D87&lt;&gt;"", ROUND(D87 - Setup!$B$6, 2), "")</f>
        <v/>
      </c>
      <c r="G87" s="12" t="inlineStr"/>
      <c r="H87" s="10" t="inlineStr">
        <is>
          <t>Follicular Phase</t>
        </is>
      </c>
      <c r="I87" s="11" t="inlineStr"/>
    </row>
    <row r="88" ht="22" customHeight="1">
      <c r="A88" s="7" t="inlineStr">
        <is>
          <t>2027-01-18</t>
        </is>
      </c>
      <c r="B88" s="7" t="n">
        <v>87</v>
      </c>
      <c r="C88" s="7" t="inlineStr">
        <is>
          <t>Monday</t>
        </is>
      </c>
      <c r="D88" s="19" t="inlineStr"/>
      <c r="E88" s="19">
        <f>IF(D88&lt;&gt;"", ROUND(AVERAGE(D82:D88), 2), "")</f>
        <v/>
      </c>
      <c r="F88" s="19">
        <f>IF(D88&lt;&gt;"", ROUND(D88 - Setup!$B$6, 2), "")</f>
        <v/>
      </c>
      <c r="G88" s="9" t="inlineStr"/>
      <c r="H88" s="7" t="inlineStr">
        <is>
          <t>Follicular Phase</t>
        </is>
      </c>
      <c r="I88" s="8" t="inlineStr"/>
    </row>
    <row r="89" ht="22" customHeight="1">
      <c r="A89" s="10" t="inlineStr">
        <is>
          <t>2027-01-19</t>
        </is>
      </c>
      <c r="B89" s="10" t="n">
        <v>88</v>
      </c>
      <c r="C89" s="10" t="inlineStr">
        <is>
          <t>Tuesday</t>
        </is>
      </c>
      <c r="D89" s="20" t="inlineStr"/>
      <c r="E89" s="20">
        <f>IF(D89&lt;&gt;"", ROUND(AVERAGE(D83:D89), 2), "")</f>
        <v/>
      </c>
      <c r="F89" s="20">
        <f>IF(D89&lt;&gt;"", ROUND(D89 - Setup!$B$6, 2), "")</f>
        <v/>
      </c>
      <c r="G89" s="12" t="inlineStr"/>
      <c r="H89" s="10" t="inlineStr">
        <is>
          <t>Follicular Phase</t>
        </is>
      </c>
      <c r="I89" s="11" t="inlineStr"/>
    </row>
    <row r="90" ht="22" customHeight="1">
      <c r="A90" s="7" t="inlineStr">
        <is>
          <t>2027-01-20</t>
        </is>
      </c>
      <c r="B90" s="7" t="n">
        <v>89</v>
      </c>
      <c r="C90" s="7" t="inlineStr">
        <is>
          <t>Wednesday</t>
        </is>
      </c>
      <c r="D90" s="19" t="inlineStr"/>
      <c r="E90" s="19">
        <f>IF(D90&lt;&gt;"", ROUND(AVERAGE(D84:D90), 2), "")</f>
        <v/>
      </c>
      <c r="F90" s="19">
        <f>IF(D90&lt;&gt;"", ROUND(D90 - Setup!$B$6, 2), "")</f>
        <v/>
      </c>
      <c r="G90" s="9" t="inlineStr"/>
      <c r="H90" s="7" t="inlineStr">
        <is>
          <t>Follicular Phase</t>
        </is>
      </c>
      <c r="I90" s="8" t="inlineStr"/>
    </row>
    <row r="91" ht="22" customHeight="1">
      <c r="A91" s="10" t="inlineStr">
        <is>
          <t>2027-01-21</t>
        </is>
      </c>
      <c r="B91" s="10" t="n">
        <v>90</v>
      </c>
      <c r="C91" s="10" t="inlineStr">
        <is>
          <t>Thursday</t>
        </is>
      </c>
      <c r="D91" s="20" t="inlineStr"/>
      <c r="E91" s="20">
        <f>IF(D91&lt;&gt;"", ROUND(AVERAGE(D85:D91), 2), "")</f>
        <v/>
      </c>
      <c r="F91" s="20">
        <f>IF(D91&lt;&gt;"", ROUND(D91 - Setup!$B$6, 2), "")</f>
        <v/>
      </c>
      <c r="G91" s="12" t="inlineStr"/>
      <c r="H91" s="10" t="inlineStr">
        <is>
          <t>Follicular Phase</t>
        </is>
      </c>
      <c r="I91" s="11" t="inlineStr"/>
    </row>
    <row r="92" ht="22" customHeight="1">
      <c r="A92" s="7" t="inlineStr">
        <is>
          <t>2027-01-22</t>
        </is>
      </c>
      <c r="B92" s="7" t="n">
        <v>91</v>
      </c>
      <c r="C92" s="7" t="inlineStr">
        <is>
          <t>Friday</t>
        </is>
      </c>
      <c r="D92" s="19" t="inlineStr"/>
      <c r="E92" s="19">
        <f>IF(D92&lt;&gt;"", ROUND(AVERAGE(D86:D92), 2), "")</f>
        <v/>
      </c>
      <c r="F92" s="19">
        <f>IF(D92&lt;&gt;"", ROUND(D92 - Setup!$B$6, 2), "")</f>
        <v/>
      </c>
      <c r="G92" s="9" t="inlineStr"/>
      <c r="H92" s="7" t="inlineStr">
        <is>
          <t>Follicular Phase</t>
        </is>
      </c>
      <c r="I92" s="8" t="inlineStr"/>
    </row>
    <row r="93" ht="22" customHeight="1">
      <c r="A93" s="10" t="inlineStr">
        <is>
          <t>2027-01-23</t>
        </is>
      </c>
      <c r="B93" s="10" t="n">
        <v>92</v>
      </c>
      <c r="C93" s="10" t="inlineStr">
        <is>
          <t>Saturday</t>
        </is>
      </c>
      <c r="D93" s="20" t="inlineStr"/>
      <c r="E93" s="20">
        <f>IF(D93&lt;&gt;"", ROUND(AVERAGE(D87:D93), 2), "")</f>
        <v/>
      </c>
      <c r="F93" s="20">
        <f>IF(D93&lt;&gt;"", ROUND(D93 - Setup!$B$6, 2), "")</f>
        <v/>
      </c>
      <c r="G93" s="12" t="inlineStr"/>
      <c r="H93" s="10" t="inlineStr">
        <is>
          <t>Follicular Phase</t>
        </is>
      </c>
      <c r="I93" s="11" t="inlineStr"/>
    </row>
    <row r="94" ht="22" customHeight="1">
      <c r="A94" s="7" t="inlineStr">
        <is>
          <t>2027-01-24</t>
        </is>
      </c>
      <c r="B94" s="7" t="n">
        <v>93</v>
      </c>
      <c r="C94" s="7" t="inlineStr">
        <is>
          <t>Sunday</t>
        </is>
      </c>
      <c r="D94" s="19" t="inlineStr"/>
      <c r="E94" s="19">
        <f>IF(D94&lt;&gt;"", ROUND(AVERAGE(D88:D94), 2), "")</f>
        <v/>
      </c>
      <c r="F94" s="19">
        <f>IF(D94&lt;&gt;"", ROUND(D94 - Setup!$B$6, 2), "")</f>
        <v/>
      </c>
      <c r="G94" s="9" t="inlineStr"/>
      <c r="H94" s="7" t="inlineStr">
        <is>
          <t>Follicular Phase</t>
        </is>
      </c>
      <c r="I94" s="8" t="inlineStr"/>
    </row>
    <row r="95" ht="22" customHeight="1">
      <c r="A95" s="10" t="inlineStr">
        <is>
          <t>2027-01-25</t>
        </is>
      </c>
      <c r="B95" s="10" t="n">
        <v>94</v>
      </c>
      <c r="C95" s="10" t="inlineStr">
        <is>
          <t>Monday</t>
        </is>
      </c>
      <c r="D95" s="20" t="inlineStr"/>
      <c r="E95" s="20">
        <f>IF(D95&lt;&gt;"", ROUND(AVERAGE(D89:D95), 2), "")</f>
        <v/>
      </c>
      <c r="F95" s="20">
        <f>IF(D95&lt;&gt;"", ROUND(D95 - Setup!$B$6, 2), "")</f>
        <v/>
      </c>
      <c r="G95" s="12" t="inlineStr"/>
      <c r="H95" s="10" t="inlineStr">
        <is>
          <t>Follicular Phase</t>
        </is>
      </c>
      <c r="I95" s="11" t="inlineStr"/>
    </row>
    <row r="96" ht="22" customHeight="1">
      <c r="A96" s="7" t="inlineStr">
        <is>
          <t>2027-01-26</t>
        </is>
      </c>
      <c r="B96" s="7" t="n">
        <v>95</v>
      </c>
      <c r="C96" s="7" t="inlineStr">
        <is>
          <t>Tuesday</t>
        </is>
      </c>
      <c r="D96" s="19" t="inlineStr"/>
      <c r="E96" s="19">
        <f>IF(D96&lt;&gt;"", ROUND(AVERAGE(D90:D96), 2), "")</f>
        <v/>
      </c>
      <c r="F96" s="19">
        <f>IF(D96&lt;&gt;"", ROUND(D96 - Setup!$B$6, 2), "")</f>
        <v/>
      </c>
      <c r="G96" s="9" t="inlineStr"/>
      <c r="H96" s="7" t="inlineStr">
        <is>
          <t>Follicular Phase</t>
        </is>
      </c>
      <c r="I96" s="8" t="inlineStr"/>
    </row>
    <row r="97" ht="22" customHeight="1">
      <c r="A97" s="10" t="inlineStr">
        <is>
          <t>2027-01-27</t>
        </is>
      </c>
      <c r="B97" s="10" t="n">
        <v>96</v>
      </c>
      <c r="C97" s="10" t="inlineStr">
        <is>
          <t>Wednesday</t>
        </is>
      </c>
      <c r="D97" s="20" t="inlineStr"/>
      <c r="E97" s="20">
        <f>IF(D97&lt;&gt;"", ROUND(AVERAGE(D91:D97), 2), "")</f>
        <v/>
      </c>
      <c r="F97" s="20">
        <f>IF(D97&lt;&gt;"", ROUND(D97 - Setup!$B$6, 2), "")</f>
        <v/>
      </c>
      <c r="G97" s="12" t="inlineStr"/>
      <c r="H97" s="10" t="inlineStr">
        <is>
          <t>Follicular Phase</t>
        </is>
      </c>
      <c r="I97" s="11" t="inlineStr"/>
    </row>
    <row r="98" ht="22" customHeight="1">
      <c r="A98" s="7" t="inlineStr">
        <is>
          <t>2027-01-28</t>
        </is>
      </c>
      <c r="B98" s="7" t="n">
        <v>97</v>
      </c>
      <c r="C98" s="7" t="inlineStr">
        <is>
          <t>Thursday</t>
        </is>
      </c>
      <c r="D98" s="19" t="inlineStr"/>
      <c r="E98" s="19">
        <f>IF(D98&lt;&gt;"", ROUND(AVERAGE(D92:D98), 2), "")</f>
        <v/>
      </c>
      <c r="F98" s="19">
        <f>IF(D98&lt;&gt;"", ROUND(D98 - Setup!$B$6, 2), "")</f>
        <v/>
      </c>
      <c r="G98" s="9" t="inlineStr"/>
      <c r="H98" s="7" t="inlineStr">
        <is>
          <t>Follicular Phase</t>
        </is>
      </c>
      <c r="I98" s="8" t="inlineStr"/>
    </row>
    <row r="99" ht="22" customHeight="1">
      <c r="A99" s="10" t="inlineStr">
        <is>
          <t>2027-01-29</t>
        </is>
      </c>
      <c r="B99" s="10" t="n">
        <v>98</v>
      </c>
      <c r="C99" s="10" t="inlineStr">
        <is>
          <t>Friday</t>
        </is>
      </c>
      <c r="D99" s="20" t="inlineStr"/>
      <c r="E99" s="20">
        <f>IF(D99&lt;&gt;"", ROUND(AVERAGE(D93:D99), 2), "")</f>
        <v/>
      </c>
      <c r="F99" s="20">
        <f>IF(D99&lt;&gt;"", ROUND(D99 - Setup!$B$6, 2), "")</f>
        <v/>
      </c>
      <c r="G99" s="12" t="inlineStr"/>
      <c r="H99" s="10" t="inlineStr">
        <is>
          <t>Follicular Phase</t>
        </is>
      </c>
      <c r="I99" s="11" t="inlineStr"/>
    </row>
    <row r="100" ht="22" customHeight="1">
      <c r="A100" s="7" t="inlineStr">
        <is>
          <t>2027-01-30</t>
        </is>
      </c>
      <c r="B100" s="7" t="n">
        <v>99</v>
      </c>
      <c r="C100" s="7" t="inlineStr">
        <is>
          <t>Saturday</t>
        </is>
      </c>
      <c r="D100" s="19" t="inlineStr"/>
      <c r="E100" s="19">
        <f>IF(D100&lt;&gt;"", ROUND(AVERAGE(D94:D100), 2), "")</f>
        <v/>
      </c>
      <c r="F100" s="19">
        <f>IF(D100&lt;&gt;"", ROUND(D100 - Setup!$B$6, 2), "")</f>
        <v/>
      </c>
      <c r="G100" s="9" t="inlineStr"/>
      <c r="H100" s="7" t="inlineStr">
        <is>
          <t>Follicular Phase</t>
        </is>
      </c>
      <c r="I100" s="8" t="inlineStr"/>
    </row>
    <row r="101" ht="22" customHeight="1">
      <c r="A101" s="10" t="inlineStr">
        <is>
          <t>2027-01-31</t>
        </is>
      </c>
      <c r="B101" s="10" t="n">
        <v>100</v>
      </c>
      <c r="C101" s="10" t="inlineStr">
        <is>
          <t>Sunday</t>
        </is>
      </c>
      <c r="D101" s="20" t="inlineStr"/>
      <c r="E101" s="20">
        <f>IF(D101&lt;&gt;"", ROUND(AVERAGE(D95:D101), 2), "")</f>
        <v/>
      </c>
      <c r="F101" s="20">
        <f>IF(D101&lt;&gt;"", ROUND(D101 - Setup!$B$6, 2), "")</f>
        <v/>
      </c>
      <c r="G101" s="12" t="inlineStr"/>
      <c r="H101" s="10" t="inlineStr">
        <is>
          <t>Follicular Phase</t>
        </is>
      </c>
      <c r="I101" s="11" t="inlineStr"/>
    </row>
    <row r="102" ht="22" customHeight="1">
      <c r="A102" s="7" t="inlineStr">
        <is>
          <t>2027-02-01</t>
        </is>
      </c>
      <c r="B102" s="7" t="n">
        <v>101</v>
      </c>
      <c r="C102" s="7" t="inlineStr">
        <is>
          <t>Monday</t>
        </is>
      </c>
      <c r="D102" s="19" t="inlineStr"/>
      <c r="E102" s="19">
        <f>IF(D102&lt;&gt;"", ROUND(AVERAGE(D96:D102), 2), "")</f>
        <v/>
      </c>
      <c r="F102" s="19">
        <f>IF(D102&lt;&gt;"", ROUND(D102 - Setup!$B$6, 2), "")</f>
        <v/>
      </c>
      <c r="G102" s="9" t="inlineStr"/>
      <c r="H102" s="7" t="inlineStr">
        <is>
          <t>Follicular Phase</t>
        </is>
      </c>
      <c r="I102" s="8" t="inlineStr"/>
    </row>
    <row r="103" ht="22" customHeight="1">
      <c r="A103" s="10" t="inlineStr">
        <is>
          <t>2027-02-02</t>
        </is>
      </c>
      <c r="B103" s="10" t="n">
        <v>102</v>
      </c>
      <c r="C103" s="10" t="inlineStr">
        <is>
          <t>Tuesday</t>
        </is>
      </c>
      <c r="D103" s="20" t="inlineStr"/>
      <c r="E103" s="20">
        <f>IF(D103&lt;&gt;"", ROUND(AVERAGE(D97:D103), 2), "")</f>
        <v/>
      </c>
      <c r="F103" s="20">
        <f>IF(D103&lt;&gt;"", ROUND(D103 - Setup!$B$6, 2), "")</f>
        <v/>
      </c>
      <c r="G103" s="12" t="inlineStr"/>
      <c r="H103" s="10" t="inlineStr">
        <is>
          <t>Follicular Phase</t>
        </is>
      </c>
      <c r="I103" s="11" t="inlineStr"/>
    </row>
    <row r="104" ht="22" customHeight="1">
      <c r="A104" s="7" t="inlineStr">
        <is>
          <t>2027-02-03</t>
        </is>
      </c>
      <c r="B104" s="7" t="n">
        <v>103</v>
      </c>
      <c r="C104" s="7" t="inlineStr">
        <is>
          <t>Wednesday</t>
        </is>
      </c>
      <c r="D104" s="19" t="inlineStr"/>
      <c r="E104" s="19">
        <f>IF(D104&lt;&gt;"", ROUND(AVERAGE(D98:D104), 2), "")</f>
        <v/>
      </c>
      <c r="F104" s="19">
        <f>IF(D104&lt;&gt;"", ROUND(D104 - Setup!$B$6, 2), "")</f>
        <v/>
      </c>
      <c r="G104" s="9" t="inlineStr"/>
      <c r="H104" s="7" t="inlineStr">
        <is>
          <t>Follicular Phase</t>
        </is>
      </c>
      <c r="I104" s="8" t="inlineStr"/>
    </row>
    <row r="105" ht="22" customHeight="1">
      <c r="A105" s="10" t="inlineStr">
        <is>
          <t>2027-02-04</t>
        </is>
      </c>
      <c r="B105" s="10" t="n">
        <v>104</v>
      </c>
      <c r="C105" s="10" t="inlineStr">
        <is>
          <t>Thursday</t>
        </is>
      </c>
      <c r="D105" s="20" t="inlineStr"/>
      <c r="E105" s="20">
        <f>IF(D105&lt;&gt;"", ROUND(AVERAGE(D99:D105), 2), "")</f>
        <v/>
      </c>
      <c r="F105" s="20">
        <f>IF(D105&lt;&gt;"", ROUND(D105 - Setup!$B$6, 2), "")</f>
        <v/>
      </c>
      <c r="G105" s="12" t="inlineStr"/>
      <c r="H105" s="10" t="inlineStr">
        <is>
          <t>Follicular Phase</t>
        </is>
      </c>
      <c r="I105" s="11" t="inlineStr"/>
    </row>
    <row r="106" ht="22" customHeight="1">
      <c r="A106" s="7" t="inlineStr">
        <is>
          <t>2027-02-05</t>
        </is>
      </c>
      <c r="B106" s="7" t="n">
        <v>105</v>
      </c>
      <c r="C106" s="7" t="inlineStr">
        <is>
          <t>Friday</t>
        </is>
      </c>
      <c r="D106" s="19" t="inlineStr"/>
      <c r="E106" s="19">
        <f>IF(D106&lt;&gt;"", ROUND(AVERAGE(D100:D106), 2), "")</f>
        <v/>
      </c>
      <c r="F106" s="19">
        <f>IF(D106&lt;&gt;"", ROUND(D106 - Setup!$B$6, 2), "")</f>
        <v/>
      </c>
      <c r="G106" s="9" t="inlineStr"/>
      <c r="H106" s="7" t="inlineStr">
        <is>
          <t>Follicular Phase</t>
        </is>
      </c>
      <c r="I106" s="8" t="inlineStr"/>
    </row>
    <row r="107" ht="22" customHeight="1">
      <c r="A107" s="10" t="inlineStr">
        <is>
          <t>2027-02-06</t>
        </is>
      </c>
      <c r="B107" s="10" t="n">
        <v>106</v>
      </c>
      <c r="C107" s="10" t="inlineStr">
        <is>
          <t>Saturday</t>
        </is>
      </c>
      <c r="D107" s="20" t="inlineStr"/>
      <c r="E107" s="20">
        <f>IF(D107&lt;&gt;"", ROUND(AVERAGE(D101:D107), 2), "")</f>
        <v/>
      </c>
      <c r="F107" s="20">
        <f>IF(D107&lt;&gt;"", ROUND(D107 - Setup!$B$6, 2), "")</f>
        <v/>
      </c>
      <c r="G107" s="12" t="inlineStr"/>
      <c r="H107" s="10" t="inlineStr">
        <is>
          <t>Follicular Phase</t>
        </is>
      </c>
      <c r="I107" s="11" t="inlineStr"/>
    </row>
    <row r="108" ht="22" customHeight="1">
      <c r="A108" s="7" t="inlineStr">
        <is>
          <t>2027-02-07</t>
        </is>
      </c>
      <c r="B108" s="7" t="n">
        <v>107</v>
      </c>
      <c r="C108" s="7" t="inlineStr">
        <is>
          <t>Sunday</t>
        </is>
      </c>
      <c r="D108" s="19" t="inlineStr"/>
      <c r="E108" s="19">
        <f>IF(D108&lt;&gt;"", ROUND(AVERAGE(D102:D108), 2), "")</f>
        <v/>
      </c>
      <c r="F108" s="19">
        <f>IF(D108&lt;&gt;"", ROUND(D108 - Setup!$B$6, 2), "")</f>
        <v/>
      </c>
      <c r="G108" s="9" t="inlineStr"/>
      <c r="H108" s="7" t="inlineStr">
        <is>
          <t>Follicular Phase</t>
        </is>
      </c>
      <c r="I108" s="8" t="inlineStr"/>
    </row>
    <row r="109" ht="22" customHeight="1">
      <c r="A109" s="10" t="inlineStr">
        <is>
          <t>2027-02-08</t>
        </is>
      </c>
      <c r="B109" s="10" t="n">
        <v>108</v>
      </c>
      <c r="C109" s="10" t="inlineStr">
        <is>
          <t>Monday</t>
        </is>
      </c>
      <c r="D109" s="20" t="inlineStr"/>
      <c r="E109" s="20">
        <f>IF(D109&lt;&gt;"", ROUND(AVERAGE(D103:D109), 2), "")</f>
        <v/>
      </c>
      <c r="F109" s="20">
        <f>IF(D109&lt;&gt;"", ROUND(D109 - Setup!$B$6, 2), "")</f>
        <v/>
      </c>
      <c r="G109" s="12" t="inlineStr"/>
      <c r="H109" s="10" t="inlineStr">
        <is>
          <t>Follicular Phase</t>
        </is>
      </c>
      <c r="I109" s="11" t="inlineStr"/>
    </row>
    <row r="110" ht="22" customHeight="1">
      <c r="A110" s="7" t="inlineStr">
        <is>
          <t>2027-02-09</t>
        </is>
      </c>
      <c r="B110" s="7" t="n">
        <v>109</v>
      </c>
      <c r="C110" s="7" t="inlineStr">
        <is>
          <t>Tuesday</t>
        </is>
      </c>
      <c r="D110" s="19" t="inlineStr"/>
      <c r="E110" s="19">
        <f>IF(D110&lt;&gt;"", ROUND(AVERAGE(D104:D110), 2), "")</f>
        <v/>
      </c>
      <c r="F110" s="19">
        <f>IF(D110&lt;&gt;"", ROUND(D110 - Setup!$B$6, 2), "")</f>
        <v/>
      </c>
      <c r="G110" s="9" t="inlineStr"/>
      <c r="H110" s="7" t="inlineStr">
        <is>
          <t>Follicular Phase</t>
        </is>
      </c>
      <c r="I110" s="8" t="inlineStr"/>
    </row>
    <row r="111" ht="22" customHeight="1">
      <c r="A111" s="10" t="inlineStr">
        <is>
          <t>2027-02-10</t>
        </is>
      </c>
      <c r="B111" s="10" t="n">
        <v>110</v>
      </c>
      <c r="C111" s="10" t="inlineStr">
        <is>
          <t>Wednesday</t>
        </is>
      </c>
      <c r="D111" s="20" t="inlineStr"/>
      <c r="E111" s="20">
        <f>IF(D111&lt;&gt;"", ROUND(AVERAGE(D105:D111), 2), "")</f>
        <v/>
      </c>
      <c r="F111" s="20">
        <f>IF(D111&lt;&gt;"", ROUND(D111 - Setup!$B$6, 2), "")</f>
        <v/>
      </c>
      <c r="G111" s="12" t="inlineStr"/>
      <c r="H111" s="10" t="inlineStr">
        <is>
          <t>Follicular Phase</t>
        </is>
      </c>
      <c r="I111" s="11" t="inlineStr"/>
    </row>
    <row r="112" ht="22" customHeight="1">
      <c r="A112" s="7" t="inlineStr">
        <is>
          <t>2027-02-11</t>
        </is>
      </c>
      <c r="B112" s="7" t="n">
        <v>111</v>
      </c>
      <c r="C112" s="7" t="inlineStr">
        <is>
          <t>Thursday</t>
        </is>
      </c>
      <c r="D112" s="19" t="inlineStr"/>
      <c r="E112" s="19">
        <f>IF(D112&lt;&gt;"", ROUND(AVERAGE(D106:D112), 2), "")</f>
        <v/>
      </c>
      <c r="F112" s="19">
        <f>IF(D112&lt;&gt;"", ROUND(D112 - Setup!$B$6, 2), "")</f>
        <v/>
      </c>
      <c r="G112" s="9" t="inlineStr"/>
      <c r="H112" s="7" t="inlineStr">
        <is>
          <t>Follicular Phase</t>
        </is>
      </c>
      <c r="I112" s="8" t="inlineStr"/>
    </row>
    <row r="113" ht="22" customHeight="1">
      <c r="A113" s="10" t="inlineStr">
        <is>
          <t>2027-02-12</t>
        </is>
      </c>
      <c r="B113" s="10" t="n">
        <v>112</v>
      </c>
      <c r="C113" s="10" t="inlineStr">
        <is>
          <t>Friday</t>
        </is>
      </c>
      <c r="D113" s="20" t="inlineStr"/>
      <c r="E113" s="20">
        <f>IF(D113&lt;&gt;"", ROUND(AVERAGE(D107:D113), 2), "")</f>
        <v/>
      </c>
      <c r="F113" s="20">
        <f>IF(D113&lt;&gt;"", ROUND(D113 - Setup!$B$6, 2), "")</f>
        <v/>
      </c>
      <c r="G113" s="12" t="inlineStr"/>
      <c r="H113" s="10" t="inlineStr">
        <is>
          <t>Follicular Phase</t>
        </is>
      </c>
      <c r="I113" s="11" t="inlineStr"/>
    </row>
    <row r="114" ht="22" customHeight="1">
      <c r="A114" s="7" t="inlineStr">
        <is>
          <t>2027-02-13</t>
        </is>
      </c>
      <c r="B114" s="7" t="n">
        <v>113</v>
      </c>
      <c r="C114" s="7" t="inlineStr">
        <is>
          <t>Saturday</t>
        </is>
      </c>
      <c r="D114" s="19" t="inlineStr"/>
      <c r="E114" s="19">
        <f>IF(D114&lt;&gt;"", ROUND(AVERAGE(D108:D114), 2), "")</f>
        <v/>
      </c>
      <c r="F114" s="19">
        <f>IF(D114&lt;&gt;"", ROUND(D114 - Setup!$B$6, 2), "")</f>
        <v/>
      </c>
      <c r="G114" s="9" t="inlineStr"/>
      <c r="H114" s="7" t="inlineStr">
        <is>
          <t>Follicular Phase</t>
        </is>
      </c>
      <c r="I114" s="8" t="inlineStr"/>
    </row>
    <row r="115" ht="22" customHeight="1">
      <c r="A115" s="10" t="inlineStr">
        <is>
          <t>2027-02-14</t>
        </is>
      </c>
      <c r="B115" s="10" t="n">
        <v>114</v>
      </c>
      <c r="C115" s="10" t="inlineStr">
        <is>
          <t>Sunday</t>
        </is>
      </c>
      <c r="D115" s="20" t="inlineStr"/>
      <c r="E115" s="20">
        <f>IF(D115&lt;&gt;"", ROUND(AVERAGE(D109:D115), 2), "")</f>
        <v/>
      </c>
      <c r="F115" s="20">
        <f>IF(D115&lt;&gt;"", ROUND(D115 - Setup!$B$6, 2), "")</f>
        <v/>
      </c>
      <c r="G115" s="12" t="inlineStr"/>
      <c r="H115" s="10" t="inlineStr">
        <is>
          <t>Follicular Phase</t>
        </is>
      </c>
      <c r="I115" s="11" t="inlineStr"/>
    </row>
    <row r="116" ht="22" customHeight="1">
      <c r="A116" s="7" t="inlineStr">
        <is>
          <t>2027-02-15</t>
        </is>
      </c>
      <c r="B116" s="7" t="n">
        <v>115</v>
      </c>
      <c r="C116" s="7" t="inlineStr">
        <is>
          <t>Monday</t>
        </is>
      </c>
      <c r="D116" s="19" t="inlineStr"/>
      <c r="E116" s="19">
        <f>IF(D116&lt;&gt;"", ROUND(AVERAGE(D110:D116), 2), "")</f>
        <v/>
      </c>
      <c r="F116" s="19">
        <f>IF(D116&lt;&gt;"", ROUND(D116 - Setup!$B$6, 2), "")</f>
        <v/>
      </c>
      <c r="G116" s="9" t="inlineStr"/>
      <c r="H116" s="7" t="inlineStr">
        <is>
          <t>Follicular Phase</t>
        </is>
      </c>
      <c r="I116" s="8" t="inlineStr"/>
    </row>
    <row r="117" ht="22" customHeight="1">
      <c r="A117" s="10" t="inlineStr">
        <is>
          <t>2027-02-16</t>
        </is>
      </c>
      <c r="B117" s="10" t="n">
        <v>116</v>
      </c>
      <c r="C117" s="10" t="inlineStr">
        <is>
          <t>Tuesday</t>
        </is>
      </c>
      <c r="D117" s="20" t="inlineStr"/>
      <c r="E117" s="20">
        <f>IF(D117&lt;&gt;"", ROUND(AVERAGE(D111:D117), 2), "")</f>
        <v/>
      </c>
      <c r="F117" s="20">
        <f>IF(D117&lt;&gt;"", ROUND(D117 - Setup!$B$6, 2), "")</f>
        <v/>
      </c>
      <c r="G117" s="12" t="inlineStr"/>
      <c r="H117" s="10" t="inlineStr">
        <is>
          <t>Follicular Phase</t>
        </is>
      </c>
      <c r="I117" s="11" t="inlineStr"/>
    </row>
    <row r="118" ht="22" customHeight="1">
      <c r="A118" s="7" t="inlineStr">
        <is>
          <t>2027-02-17</t>
        </is>
      </c>
      <c r="B118" s="7" t="n">
        <v>117</v>
      </c>
      <c r="C118" s="7" t="inlineStr">
        <is>
          <t>Wednesday</t>
        </is>
      </c>
      <c r="D118" s="19" t="inlineStr"/>
      <c r="E118" s="19">
        <f>IF(D118&lt;&gt;"", ROUND(AVERAGE(D112:D118), 2), "")</f>
        <v/>
      </c>
      <c r="F118" s="19">
        <f>IF(D118&lt;&gt;"", ROUND(D118 - Setup!$B$6, 2), "")</f>
        <v/>
      </c>
      <c r="G118" s="9" t="inlineStr"/>
      <c r="H118" s="7" t="inlineStr">
        <is>
          <t>Follicular Phase</t>
        </is>
      </c>
      <c r="I118" s="8" t="inlineStr"/>
    </row>
    <row r="119" ht="22" customHeight="1">
      <c r="A119" s="10" t="inlineStr">
        <is>
          <t>2027-02-18</t>
        </is>
      </c>
      <c r="B119" s="10" t="n">
        <v>118</v>
      </c>
      <c r="C119" s="10" t="inlineStr">
        <is>
          <t>Thursday</t>
        </is>
      </c>
      <c r="D119" s="20" t="inlineStr"/>
      <c r="E119" s="20">
        <f>IF(D119&lt;&gt;"", ROUND(AVERAGE(D113:D119), 2), "")</f>
        <v/>
      </c>
      <c r="F119" s="20">
        <f>IF(D119&lt;&gt;"", ROUND(D119 - Setup!$B$6, 2), "")</f>
        <v/>
      </c>
      <c r="G119" s="12" t="inlineStr"/>
      <c r="H119" s="10" t="inlineStr">
        <is>
          <t>Follicular Phase</t>
        </is>
      </c>
      <c r="I119" s="11" t="inlineStr"/>
    </row>
    <row r="120" ht="22" customHeight="1">
      <c r="A120" s="7" t="inlineStr">
        <is>
          <t>2027-02-19</t>
        </is>
      </c>
      <c r="B120" s="7" t="n">
        <v>119</v>
      </c>
      <c r="C120" s="7" t="inlineStr">
        <is>
          <t>Friday</t>
        </is>
      </c>
      <c r="D120" s="19" t="inlineStr"/>
      <c r="E120" s="19">
        <f>IF(D120&lt;&gt;"", ROUND(AVERAGE(D114:D120), 2), "")</f>
        <v/>
      </c>
      <c r="F120" s="19">
        <f>IF(D120&lt;&gt;"", ROUND(D120 - Setup!$B$6, 2), "")</f>
        <v/>
      </c>
      <c r="G120" s="9" t="inlineStr"/>
      <c r="H120" s="7" t="inlineStr">
        <is>
          <t>Follicular Phase</t>
        </is>
      </c>
      <c r="I120" s="8" t="inlineStr"/>
    </row>
    <row r="121" ht="22" customHeight="1">
      <c r="A121" s="10" t="inlineStr">
        <is>
          <t>2027-02-20</t>
        </is>
      </c>
      <c r="B121" s="10" t="n">
        <v>120</v>
      </c>
      <c r="C121" s="10" t="inlineStr">
        <is>
          <t>Saturday</t>
        </is>
      </c>
      <c r="D121" s="20" t="inlineStr"/>
      <c r="E121" s="20">
        <f>IF(D121&lt;&gt;"", ROUND(AVERAGE(D115:D121), 2), "")</f>
        <v/>
      </c>
      <c r="F121" s="20">
        <f>IF(D121&lt;&gt;"", ROUND(D121 - Setup!$B$6, 2), "")</f>
        <v/>
      </c>
      <c r="G121" s="12" t="inlineStr"/>
      <c r="H121" s="10" t="inlineStr">
        <is>
          <t>Follicular Phase</t>
        </is>
      </c>
      <c r="I121" s="11" t="inlineStr"/>
    </row>
    <row r="122" ht="22" customHeight="1">
      <c r="A122" s="7" t="inlineStr">
        <is>
          <t>2027-02-21</t>
        </is>
      </c>
      <c r="B122" s="7" t="n">
        <v>121</v>
      </c>
      <c r="C122" s="7" t="inlineStr">
        <is>
          <t>Sunday</t>
        </is>
      </c>
      <c r="D122" s="19" t="inlineStr"/>
      <c r="E122" s="19">
        <f>IF(D122&lt;&gt;"", ROUND(AVERAGE(D116:D122), 2), "")</f>
        <v/>
      </c>
      <c r="F122" s="19">
        <f>IF(D122&lt;&gt;"", ROUND(D122 - Setup!$B$6, 2), "")</f>
        <v/>
      </c>
      <c r="G122" s="9" t="inlineStr"/>
      <c r="H122" s="7" t="inlineStr">
        <is>
          <t>Follicular Phase</t>
        </is>
      </c>
      <c r="I122" s="8" t="inlineStr"/>
    </row>
    <row r="123" ht="22" customHeight="1">
      <c r="A123" s="10" t="inlineStr">
        <is>
          <t>2027-02-22</t>
        </is>
      </c>
      <c r="B123" s="10" t="n">
        <v>122</v>
      </c>
      <c r="C123" s="10" t="inlineStr">
        <is>
          <t>Monday</t>
        </is>
      </c>
      <c r="D123" s="20" t="inlineStr"/>
      <c r="E123" s="20">
        <f>IF(D123&lt;&gt;"", ROUND(AVERAGE(D117:D123), 2), "")</f>
        <v/>
      </c>
      <c r="F123" s="20">
        <f>IF(D123&lt;&gt;"", ROUND(D123 - Setup!$B$6, 2), "")</f>
        <v/>
      </c>
      <c r="G123" s="12" t="inlineStr"/>
      <c r="H123" s="10" t="inlineStr">
        <is>
          <t>Follicular Phase</t>
        </is>
      </c>
      <c r="I123" s="11" t="inlineStr"/>
    </row>
    <row r="124" ht="22" customHeight="1">
      <c r="A124" s="7" t="inlineStr">
        <is>
          <t>2027-02-23</t>
        </is>
      </c>
      <c r="B124" s="7" t="n">
        <v>123</v>
      </c>
      <c r="C124" s="7" t="inlineStr">
        <is>
          <t>Tuesday</t>
        </is>
      </c>
      <c r="D124" s="19" t="inlineStr"/>
      <c r="E124" s="19">
        <f>IF(D124&lt;&gt;"", ROUND(AVERAGE(D118:D124), 2), "")</f>
        <v/>
      </c>
      <c r="F124" s="19">
        <f>IF(D124&lt;&gt;"", ROUND(D124 - Setup!$B$6, 2), "")</f>
        <v/>
      </c>
      <c r="G124" s="9" t="inlineStr"/>
      <c r="H124" s="7" t="inlineStr">
        <is>
          <t>Follicular Phase</t>
        </is>
      </c>
      <c r="I124" s="8" t="inlineStr"/>
    </row>
    <row r="125" ht="22" customHeight="1">
      <c r="A125" s="10" t="inlineStr">
        <is>
          <t>2027-02-24</t>
        </is>
      </c>
      <c r="B125" s="10" t="n">
        <v>124</v>
      </c>
      <c r="C125" s="10" t="inlineStr">
        <is>
          <t>Wednesday</t>
        </is>
      </c>
      <c r="D125" s="20" t="inlineStr"/>
      <c r="E125" s="20">
        <f>IF(D125&lt;&gt;"", ROUND(AVERAGE(D119:D125), 2), "")</f>
        <v/>
      </c>
      <c r="F125" s="20">
        <f>IF(D125&lt;&gt;"", ROUND(D125 - Setup!$B$6, 2), "")</f>
        <v/>
      </c>
      <c r="G125" s="12" t="inlineStr"/>
      <c r="H125" s="10" t="inlineStr">
        <is>
          <t>Follicular Phase</t>
        </is>
      </c>
      <c r="I125" s="11" t="inlineStr"/>
    </row>
    <row r="126" ht="22" customHeight="1">
      <c r="A126" s="7" t="inlineStr">
        <is>
          <t>2027-02-25</t>
        </is>
      </c>
      <c r="B126" s="7" t="n">
        <v>125</v>
      </c>
      <c r="C126" s="7" t="inlineStr">
        <is>
          <t>Thursday</t>
        </is>
      </c>
      <c r="D126" s="19" t="inlineStr"/>
      <c r="E126" s="19">
        <f>IF(D126&lt;&gt;"", ROUND(AVERAGE(D120:D126), 2), "")</f>
        <v/>
      </c>
      <c r="F126" s="19">
        <f>IF(D126&lt;&gt;"", ROUND(D126 - Setup!$B$6, 2), "")</f>
        <v/>
      </c>
      <c r="G126" s="9" t="inlineStr"/>
      <c r="H126" s="7" t="inlineStr">
        <is>
          <t>Follicular Phase</t>
        </is>
      </c>
      <c r="I126" s="8" t="inlineStr"/>
    </row>
    <row r="127" ht="22" customHeight="1">
      <c r="A127" s="10" t="inlineStr">
        <is>
          <t>2027-02-26</t>
        </is>
      </c>
      <c r="B127" s="10" t="n">
        <v>126</v>
      </c>
      <c r="C127" s="10" t="inlineStr">
        <is>
          <t>Friday</t>
        </is>
      </c>
      <c r="D127" s="20" t="inlineStr"/>
      <c r="E127" s="20">
        <f>IF(D127&lt;&gt;"", ROUND(AVERAGE(D121:D127), 2), "")</f>
        <v/>
      </c>
      <c r="F127" s="20">
        <f>IF(D127&lt;&gt;"", ROUND(D127 - Setup!$B$6, 2), "")</f>
        <v/>
      </c>
      <c r="G127" s="12" t="inlineStr"/>
      <c r="H127" s="10" t="inlineStr">
        <is>
          <t>Follicular Phase</t>
        </is>
      </c>
      <c r="I127" s="11" t="inlineStr"/>
    </row>
    <row r="128" ht="22" customHeight="1">
      <c r="A128" s="7" t="inlineStr">
        <is>
          <t>2027-02-27</t>
        </is>
      </c>
      <c r="B128" s="7" t="n">
        <v>127</v>
      </c>
      <c r="C128" s="7" t="inlineStr">
        <is>
          <t>Saturday</t>
        </is>
      </c>
      <c r="D128" s="19" t="inlineStr"/>
      <c r="E128" s="19">
        <f>IF(D128&lt;&gt;"", ROUND(AVERAGE(D122:D128), 2), "")</f>
        <v/>
      </c>
      <c r="F128" s="19">
        <f>IF(D128&lt;&gt;"", ROUND(D128 - Setup!$B$6, 2), "")</f>
        <v/>
      </c>
      <c r="G128" s="9" t="inlineStr"/>
      <c r="H128" s="7" t="inlineStr">
        <is>
          <t>Follicular Phase</t>
        </is>
      </c>
      <c r="I128" s="8" t="inlineStr"/>
    </row>
    <row r="129" ht="22" customHeight="1">
      <c r="A129" s="10" t="inlineStr">
        <is>
          <t>2027-02-28</t>
        </is>
      </c>
      <c r="B129" s="10" t="n">
        <v>128</v>
      </c>
      <c r="C129" s="10" t="inlineStr">
        <is>
          <t>Sunday</t>
        </is>
      </c>
      <c r="D129" s="20" t="inlineStr"/>
      <c r="E129" s="20">
        <f>IF(D129&lt;&gt;"", ROUND(AVERAGE(D123:D129), 2), "")</f>
        <v/>
      </c>
      <c r="F129" s="20">
        <f>IF(D129&lt;&gt;"", ROUND(D129 - Setup!$B$6, 2), "")</f>
        <v/>
      </c>
      <c r="G129" s="12" t="inlineStr"/>
      <c r="H129" s="10" t="inlineStr">
        <is>
          <t>Follicular Phase</t>
        </is>
      </c>
      <c r="I129" s="11" t="inlineStr"/>
    </row>
    <row r="130" ht="22" customHeight="1">
      <c r="A130" s="7" t="inlineStr">
        <is>
          <t>2027-03-01</t>
        </is>
      </c>
      <c r="B130" s="7" t="n">
        <v>129</v>
      </c>
      <c r="C130" s="7" t="inlineStr">
        <is>
          <t>Monday</t>
        </is>
      </c>
      <c r="D130" s="19" t="inlineStr"/>
      <c r="E130" s="19">
        <f>IF(D130&lt;&gt;"", ROUND(AVERAGE(D124:D130), 2), "")</f>
        <v/>
      </c>
      <c r="F130" s="19">
        <f>IF(D130&lt;&gt;"", ROUND(D130 - Setup!$B$6, 2), "")</f>
        <v/>
      </c>
      <c r="G130" s="9" t="inlineStr"/>
      <c r="H130" s="7" t="inlineStr">
        <is>
          <t>Follicular Phase</t>
        </is>
      </c>
      <c r="I130" s="8" t="inlineStr"/>
    </row>
    <row r="131" ht="22" customHeight="1">
      <c r="A131" s="10" t="inlineStr">
        <is>
          <t>2027-03-02</t>
        </is>
      </c>
      <c r="B131" s="10" t="n">
        <v>130</v>
      </c>
      <c r="C131" s="10" t="inlineStr">
        <is>
          <t>Tuesday</t>
        </is>
      </c>
      <c r="D131" s="20" t="inlineStr"/>
      <c r="E131" s="20">
        <f>IF(D131&lt;&gt;"", ROUND(AVERAGE(D125:D131), 2), "")</f>
        <v/>
      </c>
      <c r="F131" s="20">
        <f>IF(D131&lt;&gt;"", ROUND(D131 - Setup!$B$6, 2), "")</f>
        <v/>
      </c>
      <c r="G131" s="12" t="inlineStr"/>
      <c r="H131" s="10" t="inlineStr">
        <is>
          <t>Follicular Phase</t>
        </is>
      </c>
      <c r="I131" s="11" t="inlineStr"/>
    </row>
    <row r="132" ht="22" customHeight="1">
      <c r="A132" s="7" t="inlineStr">
        <is>
          <t>2027-03-03</t>
        </is>
      </c>
      <c r="B132" s="7" t="n">
        <v>131</v>
      </c>
      <c r="C132" s="7" t="inlineStr">
        <is>
          <t>Wednesday</t>
        </is>
      </c>
      <c r="D132" s="19" t="inlineStr"/>
      <c r="E132" s="19">
        <f>IF(D132&lt;&gt;"", ROUND(AVERAGE(D126:D132), 2), "")</f>
        <v/>
      </c>
      <c r="F132" s="19">
        <f>IF(D132&lt;&gt;"", ROUND(D132 - Setup!$B$6, 2), "")</f>
        <v/>
      </c>
      <c r="G132" s="9" t="inlineStr"/>
      <c r="H132" s="7" t="inlineStr">
        <is>
          <t>Follicular Phase</t>
        </is>
      </c>
      <c r="I132" s="8" t="inlineStr"/>
    </row>
    <row r="133" ht="22" customHeight="1">
      <c r="A133" s="10" t="inlineStr">
        <is>
          <t>2027-03-04</t>
        </is>
      </c>
      <c r="B133" s="10" t="n">
        <v>132</v>
      </c>
      <c r="C133" s="10" t="inlineStr">
        <is>
          <t>Thursday</t>
        </is>
      </c>
      <c r="D133" s="20" t="inlineStr"/>
      <c r="E133" s="20">
        <f>IF(D133&lt;&gt;"", ROUND(AVERAGE(D127:D133), 2), "")</f>
        <v/>
      </c>
      <c r="F133" s="20">
        <f>IF(D133&lt;&gt;"", ROUND(D133 - Setup!$B$6, 2), "")</f>
        <v/>
      </c>
      <c r="G133" s="12" t="inlineStr"/>
      <c r="H133" s="10" t="inlineStr">
        <is>
          <t>Follicular Phase</t>
        </is>
      </c>
      <c r="I133" s="11" t="inlineStr"/>
    </row>
    <row r="134" ht="22" customHeight="1">
      <c r="A134" s="7" t="inlineStr">
        <is>
          <t>2027-03-05</t>
        </is>
      </c>
      <c r="B134" s="7" t="n">
        <v>133</v>
      </c>
      <c r="C134" s="7" t="inlineStr">
        <is>
          <t>Friday</t>
        </is>
      </c>
      <c r="D134" s="19" t="inlineStr"/>
      <c r="E134" s="19">
        <f>IF(D134&lt;&gt;"", ROUND(AVERAGE(D128:D134), 2), "")</f>
        <v/>
      </c>
      <c r="F134" s="19">
        <f>IF(D134&lt;&gt;"", ROUND(D134 - Setup!$B$6, 2), "")</f>
        <v/>
      </c>
      <c r="G134" s="9" t="inlineStr"/>
      <c r="H134" s="7" t="inlineStr">
        <is>
          <t>Follicular Phase</t>
        </is>
      </c>
      <c r="I134" s="8" t="inlineStr"/>
    </row>
    <row r="135" ht="22" customHeight="1">
      <c r="A135" s="10" t="inlineStr">
        <is>
          <t>2027-03-06</t>
        </is>
      </c>
      <c r="B135" s="10" t="n">
        <v>134</v>
      </c>
      <c r="C135" s="10" t="inlineStr">
        <is>
          <t>Saturday</t>
        </is>
      </c>
      <c r="D135" s="20" t="inlineStr"/>
      <c r="E135" s="20">
        <f>IF(D135&lt;&gt;"", ROUND(AVERAGE(D129:D135), 2), "")</f>
        <v/>
      </c>
      <c r="F135" s="20">
        <f>IF(D135&lt;&gt;"", ROUND(D135 - Setup!$B$6, 2), "")</f>
        <v/>
      </c>
      <c r="G135" s="12" t="inlineStr"/>
      <c r="H135" s="10" t="inlineStr">
        <is>
          <t>Follicular Phase</t>
        </is>
      </c>
      <c r="I135" s="11" t="inlineStr"/>
    </row>
    <row r="136" ht="22" customHeight="1">
      <c r="A136" s="7" t="inlineStr">
        <is>
          <t>2027-03-07</t>
        </is>
      </c>
      <c r="B136" s="7" t="n">
        <v>135</v>
      </c>
      <c r="C136" s="7" t="inlineStr">
        <is>
          <t>Sunday</t>
        </is>
      </c>
      <c r="D136" s="19" t="inlineStr"/>
      <c r="E136" s="19">
        <f>IF(D136&lt;&gt;"", ROUND(AVERAGE(D130:D136), 2), "")</f>
        <v/>
      </c>
      <c r="F136" s="19">
        <f>IF(D136&lt;&gt;"", ROUND(D136 - Setup!$B$6, 2), "")</f>
        <v/>
      </c>
      <c r="G136" s="9" t="inlineStr"/>
      <c r="H136" s="7" t="inlineStr">
        <is>
          <t>Follicular Phase</t>
        </is>
      </c>
      <c r="I136" s="8" t="inlineStr"/>
    </row>
    <row r="137" ht="22" customHeight="1">
      <c r="A137" s="10" t="inlineStr">
        <is>
          <t>2027-03-08</t>
        </is>
      </c>
      <c r="B137" s="10" t="n">
        <v>136</v>
      </c>
      <c r="C137" s="10" t="inlineStr">
        <is>
          <t>Monday</t>
        </is>
      </c>
      <c r="D137" s="20" t="inlineStr"/>
      <c r="E137" s="20">
        <f>IF(D137&lt;&gt;"", ROUND(AVERAGE(D131:D137), 2), "")</f>
        <v/>
      </c>
      <c r="F137" s="20">
        <f>IF(D137&lt;&gt;"", ROUND(D137 - Setup!$B$6, 2), "")</f>
        <v/>
      </c>
      <c r="G137" s="12" t="inlineStr"/>
      <c r="H137" s="10" t="inlineStr">
        <is>
          <t>Follicular Phase</t>
        </is>
      </c>
      <c r="I137" s="11" t="inlineStr"/>
    </row>
    <row r="138" ht="22" customHeight="1">
      <c r="A138" s="7" t="inlineStr">
        <is>
          <t>2027-03-09</t>
        </is>
      </c>
      <c r="B138" s="7" t="n">
        <v>137</v>
      </c>
      <c r="C138" s="7" t="inlineStr">
        <is>
          <t>Tuesday</t>
        </is>
      </c>
      <c r="D138" s="19" t="inlineStr"/>
      <c r="E138" s="19">
        <f>IF(D138&lt;&gt;"", ROUND(AVERAGE(D132:D138), 2), "")</f>
        <v/>
      </c>
      <c r="F138" s="19">
        <f>IF(D138&lt;&gt;"", ROUND(D138 - Setup!$B$6, 2), "")</f>
        <v/>
      </c>
      <c r="G138" s="9" t="inlineStr"/>
      <c r="H138" s="7" t="inlineStr">
        <is>
          <t>Follicular Phase</t>
        </is>
      </c>
      <c r="I138" s="8" t="inlineStr"/>
    </row>
    <row r="139" ht="22" customHeight="1">
      <c r="A139" s="10" t="inlineStr">
        <is>
          <t>2027-03-10</t>
        </is>
      </c>
      <c r="B139" s="10" t="n">
        <v>138</v>
      </c>
      <c r="C139" s="10" t="inlineStr">
        <is>
          <t>Wednesday</t>
        </is>
      </c>
      <c r="D139" s="20" t="inlineStr"/>
      <c r="E139" s="20">
        <f>IF(D139&lt;&gt;"", ROUND(AVERAGE(D133:D139), 2), "")</f>
        <v/>
      </c>
      <c r="F139" s="20">
        <f>IF(D139&lt;&gt;"", ROUND(D139 - Setup!$B$6, 2), "")</f>
        <v/>
      </c>
      <c r="G139" s="12" t="inlineStr"/>
      <c r="H139" s="10" t="inlineStr">
        <is>
          <t>Follicular Phase</t>
        </is>
      </c>
      <c r="I139" s="11" t="inlineStr"/>
    </row>
    <row r="140" ht="22" customHeight="1">
      <c r="A140" s="7" t="inlineStr">
        <is>
          <t>2027-03-11</t>
        </is>
      </c>
      <c r="B140" s="7" t="n">
        <v>139</v>
      </c>
      <c r="C140" s="7" t="inlineStr">
        <is>
          <t>Thursday</t>
        </is>
      </c>
      <c r="D140" s="19" t="inlineStr"/>
      <c r="E140" s="19">
        <f>IF(D140&lt;&gt;"", ROUND(AVERAGE(D134:D140), 2), "")</f>
        <v/>
      </c>
      <c r="F140" s="19">
        <f>IF(D140&lt;&gt;"", ROUND(D140 - Setup!$B$6, 2), "")</f>
        <v/>
      </c>
      <c r="G140" s="9" t="inlineStr"/>
      <c r="H140" s="7" t="inlineStr">
        <is>
          <t>Follicular Phase</t>
        </is>
      </c>
      <c r="I140" s="8" t="inlineStr"/>
    </row>
    <row r="141" ht="22" customHeight="1">
      <c r="A141" s="10" t="inlineStr">
        <is>
          <t>2027-03-12</t>
        </is>
      </c>
      <c r="B141" s="10" t="n">
        <v>140</v>
      </c>
      <c r="C141" s="10" t="inlineStr">
        <is>
          <t>Friday</t>
        </is>
      </c>
      <c r="D141" s="20" t="inlineStr"/>
      <c r="E141" s="20">
        <f>IF(D141&lt;&gt;"", ROUND(AVERAGE(D135:D141), 2), "")</f>
        <v/>
      </c>
      <c r="F141" s="20">
        <f>IF(D141&lt;&gt;"", ROUND(D141 - Setup!$B$6, 2), "")</f>
        <v/>
      </c>
      <c r="G141" s="12" t="inlineStr"/>
      <c r="H141" s="10" t="inlineStr">
        <is>
          <t>Follicular Phase</t>
        </is>
      </c>
      <c r="I141" s="11" t="inlineStr"/>
    </row>
    <row r="142" ht="22" customHeight="1">
      <c r="A142" s="7" t="inlineStr">
        <is>
          <t>2027-03-13</t>
        </is>
      </c>
      <c r="B142" s="7" t="n">
        <v>141</v>
      </c>
      <c r="C142" s="7" t="inlineStr">
        <is>
          <t>Saturday</t>
        </is>
      </c>
      <c r="D142" s="19" t="inlineStr"/>
      <c r="E142" s="19">
        <f>IF(D142&lt;&gt;"", ROUND(AVERAGE(D136:D142), 2), "")</f>
        <v/>
      </c>
      <c r="F142" s="19">
        <f>IF(D142&lt;&gt;"", ROUND(D142 - Setup!$B$6, 2), "")</f>
        <v/>
      </c>
      <c r="G142" s="9" t="inlineStr"/>
      <c r="H142" s="7" t="inlineStr">
        <is>
          <t>Follicular Phase</t>
        </is>
      </c>
      <c r="I142" s="8" t="inlineStr"/>
    </row>
    <row r="143" ht="22" customHeight="1">
      <c r="A143" s="10" t="inlineStr">
        <is>
          <t>2027-03-14</t>
        </is>
      </c>
      <c r="B143" s="10" t="n">
        <v>142</v>
      </c>
      <c r="C143" s="10" t="inlineStr">
        <is>
          <t>Sunday</t>
        </is>
      </c>
      <c r="D143" s="20" t="inlineStr"/>
      <c r="E143" s="20">
        <f>IF(D143&lt;&gt;"", ROUND(AVERAGE(D137:D143), 2), "")</f>
        <v/>
      </c>
      <c r="F143" s="20">
        <f>IF(D143&lt;&gt;"", ROUND(D143 - Setup!$B$6, 2), "")</f>
        <v/>
      </c>
      <c r="G143" s="12" t="inlineStr"/>
      <c r="H143" s="10" t="inlineStr">
        <is>
          <t>Follicular Phase</t>
        </is>
      </c>
      <c r="I143" s="11" t="inlineStr"/>
    </row>
    <row r="144" ht="22" customHeight="1">
      <c r="A144" s="7" t="inlineStr">
        <is>
          <t>2027-03-15</t>
        </is>
      </c>
      <c r="B144" s="7" t="n">
        <v>143</v>
      </c>
      <c r="C144" s="7" t="inlineStr">
        <is>
          <t>Monday</t>
        </is>
      </c>
      <c r="D144" s="19" t="inlineStr"/>
      <c r="E144" s="19">
        <f>IF(D144&lt;&gt;"", ROUND(AVERAGE(D138:D144), 2), "")</f>
        <v/>
      </c>
      <c r="F144" s="19">
        <f>IF(D144&lt;&gt;"", ROUND(D144 - Setup!$B$6, 2), "")</f>
        <v/>
      </c>
      <c r="G144" s="9" t="inlineStr"/>
      <c r="H144" s="7" t="inlineStr">
        <is>
          <t>Follicular Phase</t>
        </is>
      </c>
      <c r="I144" s="8" t="inlineStr"/>
    </row>
    <row r="145" ht="22" customHeight="1">
      <c r="A145" s="10" t="inlineStr">
        <is>
          <t>2027-03-16</t>
        </is>
      </c>
      <c r="B145" s="10" t="n">
        <v>144</v>
      </c>
      <c r="C145" s="10" t="inlineStr">
        <is>
          <t>Tuesday</t>
        </is>
      </c>
      <c r="D145" s="20" t="inlineStr"/>
      <c r="E145" s="20">
        <f>IF(D145&lt;&gt;"", ROUND(AVERAGE(D139:D145), 2), "")</f>
        <v/>
      </c>
      <c r="F145" s="20">
        <f>IF(D145&lt;&gt;"", ROUND(D145 - Setup!$B$6, 2), "")</f>
        <v/>
      </c>
      <c r="G145" s="12" t="inlineStr"/>
      <c r="H145" s="10" t="inlineStr">
        <is>
          <t>Follicular Phase</t>
        </is>
      </c>
      <c r="I145" s="11" t="inlineStr"/>
    </row>
    <row r="146" ht="22" customHeight="1">
      <c r="A146" s="7" t="inlineStr">
        <is>
          <t>2027-03-17</t>
        </is>
      </c>
      <c r="B146" s="7" t="n">
        <v>145</v>
      </c>
      <c r="C146" s="7" t="inlineStr">
        <is>
          <t>Wednesday</t>
        </is>
      </c>
      <c r="D146" s="19" t="inlineStr"/>
      <c r="E146" s="19">
        <f>IF(D146&lt;&gt;"", ROUND(AVERAGE(D140:D146), 2), "")</f>
        <v/>
      </c>
      <c r="F146" s="19">
        <f>IF(D146&lt;&gt;"", ROUND(D146 - Setup!$B$6, 2), "")</f>
        <v/>
      </c>
      <c r="G146" s="9" t="inlineStr"/>
      <c r="H146" s="7" t="inlineStr">
        <is>
          <t>Follicular Phase</t>
        </is>
      </c>
      <c r="I146" s="8" t="inlineStr"/>
    </row>
    <row r="147" ht="22" customHeight="1">
      <c r="A147" s="10" t="inlineStr">
        <is>
          <t>2027-03-18</t>
        </is>
      </c>
      <c r="B147" s="10" t="n">
        <v>146</v>
      </c>
      <c r="C147" s="10" t="inlineStr">
        <is>
          <t>Thursday</t>
        </is>
      </c>
      <c r="D147" s="20" t="inlineStr"/>
      <c r="E147" s="20">
        <f>IF(D147&lt;&gt;"", ROUND(AVERAGE(D141:D147), 2), "")</f>
        <v/>
      </c>
      <c r="F147" s="20">
        <f>IF(D147&lt;&gt;"", ROUND(D147 - Setup!$B$6, 2), "")</f>
        <v/>
      </c>
      <c r="G147" s="12" t="inlineStr"/>
      <c r="H147" s="10" t="inlineStr">
        <is>
          <t>Follicular Phase</t>
        </is>
      </c>
      <c r="I147" s="11" t="inlineStr"/>
    </row>
    <row r="148" ht="22" customHeight="1">
      <c r="A148" s="7" t="inlineStr">
        <is>
          <t>2027-03-19</t>
        </is>
      </c>
      <c r="B148" s="7" t="n">
        <v>147</v>
      </c>
      <c r="C148" s="7" t="inlineStr">
        <is>
          <t>Friday</t>
        </is>
      </c>
      <c r="D148" s="19" t="inlineStr"/>
      <c r="E148" s="19">
        <f>IF(D148&lt;&gt;"", ROUND(AVERAGE(D142:D148), 2), "")</f>
        <v/>
      </c>
      <c r="F148" s="19">
        <f>IF(D148&lt;&gt;"", ROUND(D148 - Setup!$B$6, 2), "")</f>
        <v/>
      </c>
      <c r="G148" s="9" t="inlineStr"/>
      <c r="H148" s="7" t="inlineStr">
        <is>
          <t>Follicular Phase</t>
        </is>
      </c>
      <c r="I148" s="8" t="inlineStr"/>
    </row>
    <row r="149" ht="22" customHeight="1">
      <c r="A149" s="10" t="inlineStr">
        <is>
          <t>2027-03-20</t>
        </is>
      </c>
      <c r="B149" s="10" t="n">
        <v>148</v>
      </c>
      <c r="C149" s="10" t="inlineStr">
        <is>
          <t>Saturday</t>
        </is>
      </c>
      <c r="D149" s="20" t="inlineStr"/>
      <c r="E149" s="20">
        <f>IF(D149&lt;&gt;"", ROUND(AVERAGE(D143:D149), 2), "")</f>
        <v/>
      </c>
      <c r="F149" s="20">
        <f>IF(D149&lt;&gt;"", ROUND(D149 - Setup!$B$6, 2), "")</f>
        <v/>
      </c>
      <c r="G149" s="12" t="inlineStr"/>
      <c r="H149" s="10" t="inlineStr">
        <is>
          <t>Follicular Phase</t>
        </is>
      </c>
      <c r="I149" s="11" t="inlineStr"/>
    </row>
    <row r="150" ht="22" customHeight="1">
      <c r="A150" s="7" t="inlineStr">
        <is>
          <t>2027-03-21</t>
        </is>
      </c>
      <c r="B150" s="7" t="n">
        <v>149</v>
      </c>
      <c r="C150" s="7" t="inlineStr">
        <is>
          <t>Sunday</t>
        </is>
      </c>
      <c r="D150" s="19" t="inlineStr"/>
      <c r="E150" s="19">
        <f>IF(D150&lt;&gt;"", ROUND(AVERAGE(D144:D150), 2), "")</f>
        <v/>
      </c>
      <c r="F150" s="19">
        <f>IF(D150&lt;&gt;"", ROUND(D150 - Setup!$B$6, 2), "")</f>
        <v/>
      </c>
      <c r="G150" s="9" t="inlineStr"/>
      <c r="H150" s="7" t="inlineStr">
        <is>
          <t>Follicular Phase</t>
        </is>
      </c>
      <c r="I150" s="8" t="inlineStr"/>
    </row>
    <row r="151" ht="22" customHeight="1">
      <c r="A151" s="10" t="inlineStr">
        <is>
          <t>2027-03-22</t>
        </is>
      </c>
      <c r="B151" s="10" t="n">
        <v>150</v>
      </c>
      <c r="C151" s="10" t="inlineStr">
        <is>
          <t>Monday</t>
        </is>
      </c>
      <c r="D151" s="20" t="inlineStr"/>
      <c r="E151" s="20">
        <f>IF(D151&lt;&gt;"", ROUND(AVERAGE(D145:D151), 2), "")</f>
        <v/>
      </c>
      <c r="F151" s="20">
        <f>IF(D151&lt;&gt;"", ROUND(D151 - Setup!$B$6, 2), "")</f>
        <v/>
      </c>
      <c r="G151" s="12" t="inlineStr"/>
      <c r="H151" s="10" t="inlineStr">
        <is>
          <t>Follicular Phase</t>
        </is>
      </c>
      <c r="I151" s="11" t="inlineStr"/>
    </row>
    <row r="152" ht="22" customHeight="1">
      <c r="A152" s="7" t="inlineStr">
        <is>
          <t>2027-03-23</t>
        </is>
      </c>
      <c r="B152" s="7" t="n">
        <v>151</v>
      </c>
      <c r="C152" s="7" t="inlineStr">
        <is>
          <t>Tuesday</t>
        </is>
      </c>
      <c r="D152" s="19" t="inlineStr"/>
      <c r="E152" s="19">
        <f>IF(D152&lt;&gt;"", ROUND(AVERAGE(D146:D152), 2), "")</f>
        <v/>
      </c>
      <c r="F152" s="19">
        <f>IF(D152&lt;&gt;"", ROUND(D152 - Setup!$B$6, 2), "")</f>
        <v/>
      </c>
      <c r="G152" s="9" t="inlineStr"/>
      <c r="H152" s="7" t="inlineStr">
        <is>
          <t>Follicular Phase</t>
        </is>
      </c>
      <c r="I152" s="8" t="inlineStr"/>
    </row>
    <row r="153" ht="22" customHeight="1">
      <c r="A153" s="10" t="inlineStr">
        <is>
          <t>2027-03-24</t>
        </is>
      </c>
      <c r="B153" s="10" t="n">
        <v>152</v>
      </c>
      <c r="C153" s="10" t="inlineStr">
        <is>
          <t>Wednesday</t>
        </is>
      </c>
      <c r="D153" s="20" t="inlineStr"/>
      <c r="E153" s="20">
        <f>IF(D153&lt;&gt;"", ROUND(AVERAGE(D147:D153), 2), "")</f>
        <v/>
      </c>
      <c r="F153" s="20">
        <f>IF(D153&lt;&gt;"", ROUND(D153 - Setup!$B$6, 2), "")</f>
        <v/>
      </c>
      <c r="G153" s="12" t="inlineStr"/>
      <c r="H153" s="10" t="inlineStr">
        <is>
          <t>Follicular Phase</t>
        </is>
      </c>
      <c r="I153" s="11" t="inlineStr"/>
    </row>
    <row r="154" ht="22" customHeight="1">
      <c r="A154" s="7" t="inlineStr">
        <is>
          <t>2027-03-25</t>
        </is>
      </c>
      <c r="B154" s="7" t="n">
        <v>153</v>
      </c>
      <c r="C154" s="7" t="inlineStr">
        <is>
          <t>Thursday</t>
        </is>
      </c>
      <c r="D154" s="19" t="inlineStr"/>
      <c r="E154" s="19">
        <f>IF(D154&lt;&gt;"", ROUND(AVERAGE(D148:D154), 2), "")</f>
        <v/>
      </c>
      <c r="F154" s="19">
        <f>IF(D154&lt;&gt;"", ROUND(D154 - Setup!$B$6, 2), "")</f>
        <v/>
      </c>
      <c r="G154" s="9" t="inlineStr"/>
      <c r="H154" s="7" t="inlineStr">
        <is>
          <t>Follicular Phase</t>
        </is>
      </c>
      <c r="I154" s="8" t="inlineStr"/>
    </row>
    <row r="155" ht="22" customHeight="1">
      <c r="A155" s="10" t="inlineStr">
        <is>
          <t>2027-03-26</t>
        </is>
      </c>
      <c r="B155" s="10" t="n">
        <v>154</v>
      </c>
      <c r="C155" s="10" t="inlineStr">
        <is>
          <t>Friday</t>
        </is>
      </c>
      <c r="D155" s="20" t="inlineStr"/>
      <c r="E155" s="20">
        <f>IF(D155&lt;&gt;"", ROUND(AVERAGE(D149:D155), 2), "")</f>
        <v/>
      </c>
      <c r="F155" s="20">
        <f>IF(D155&lt;&gt;"", ROUND(D155 - Setup!$B$6, 2), "")</f>
        <v/>
      </c>
      <c r="G155" s="12" t="inlineStr"/>
      <c r="H155" s="10" t="inlineStr">
        <is>
          <t>Follicular Phase</t>
        </is>
      </c>
      <c r="I155" s="11" t="inlineStr"/>
    </row>
    <row r="156" ht="22" customHeight="1">
      <c r="A156" s="7" t="inlineStr">
        <is>
          <t>2027-03-27</t>
        </is>
      </c>
      <c r="B156" s="7" t="n">
        <v>155</v>
      </c>
      <c r="C156" s="7" t="inlineStr">
        <is>
          <t>Saturday</t>
        </is>
      </c>
      <c r="D156" s="19" t="inlineStr"/>
      <c r="E156" s="19">
        <f>IF(D156&lt;&gt;"", ROUND(AVERAGE(D150:D156), 2), "")</f>
        <v/>
      </c>
      <c r="F156" s="19">
        <f>IF(D156&lt;&gt;"", ROUND(D156 - Setup!$B$6, 2), "")</f>
        <v/>
      </c>
      <c r="G156" s="9" t="inlineStr"/>
      <c r="H156" s="7" t="inlineStr">
        <is>
          <t>Follicular Phase</t>
        </is>
      </c>
      <c r="I156" s="8" t="inlineStr"/>
    </row>
    <row r="157" ht="22" customHeight="1">
      <c r="A157" s="10" t="inlineStr">
        <is>
          <t>2027-03-28</t>
        </is>
      </c>
      <c r="B157" s="10" t="n">
        <v>156</v>
      </c>
      <c r="C157" s="10" t="inlineStr">
        <is>
          <t>Sunday</t>
        </is>
      </c>
      <c r="D157" s="20" t="inlineStr"/>
      <c r="E157" s="20">
        <f>IF(D157&lt;&gt;"", ROUND(AVERAGE(D151:D157), 2), "")</f>
        <v/>
      </c>
      <c r="F157" s="20">
        <f>IF(D157&lt;&gt;"", ROUND(D157 - Setup!$B$6, 2), "")</f>
        <v/>
      </c>
      <c r="G157" s="12" t="inlineStr"/>
      <c r="H157" s="10" t="inlineStr">
        <is>
          <t>Follicular Phase</t>
        </is>
      </c>
      <c r="I157" s="11" t="inlineStr"/>
    </row>
    <row r="158" ht="22" customHeight="1">
      <c r="A158" s="7" t="inlineStr">
        <is>
          <t>2027-03-29</t>
        </is>
      </c>
      <c r="B158" s="7" t="n">
        <v>157</v>
      </c>
      <c r="C158" s="7" t="inlineStr">
        <is>
          <t>Monday</t>
        </is>
      </c>
      <c r="D158" s="19" t="inlineStr"/>
      <c r="E158" s="19">
        <f>IF(D158&lt;&gt;"", ROUND(AVERAGE(D152:D158), 2), "")</f>
        <v/>
      </c>
      <c r="F158" s="19">
        <f>IF(D158&lt;&gt;"", ROUND(D158 - Setup!$B$6, 2), "")</f>
        <v/>
      </c>
      <c r="G158" s="9" t="inlineStr"/>
      <c r="H158" s="7" t="inlineStr">
        <is>
          <t>Follicular Phase</t>
        </is>
      </c>
      <c r="I158" s="8" t="inlineStr"/>
    </row>
    <row r="159" ht="22" customHeight="1">
      <c r="A159" s="10" t="inlineStr">
        <is>
          <t>2027-03-30</t>
        </is>
      </c>
      <c r="B159" s="10" t="n">
        <v>158</v>
      </c>
      <c r="C159" s="10" t="inlineStr">
        <is>
          <t>Tuesday</t>
        </is>
      </c>
      <c r="D159" s="20" t="inlineStr"/>
      <c r="E159" s="20">
        <f>IF(D159&lt;&gt;"", ROUND(AVERAGE(D153:D159), 2), "")</f>
        <v/>
      </c>
      <c r="F159" s="20">
        <f>IF(D159&lt;&gt;"", ROUND(D159 - Setup!$B$6, 2), "")</f>
        <v/>
      </c>
      <c r="G159" s="12" t="inlineStr"/>
      <c r="H159" s="10" t="inlineStr">
        <is>
          <t>Follicular Phase</t>
        </is>
      </c>
      <c r="I159" s="11" t="inlineStr"/>
    </row>
    <row r="160" ht="22" customHeight="1">
      <c r="A160" s="7" t="inlineStr">
        <is>
          <t>2027-03-31</t>
        </is>
      </c>
      <c r="B160" s="7" t="n">
        <v>159</v>
      </c>
      <c r="C160" s="7" t="inlineStr">
        <is>
          <t>Wednesday</t>
        </is>
      </c>
      <c r="D160" s="19" t="inlineStr"/>
      <c r="E160" s="19">
        <f>IF(D160&lt;&gt;"", ROUND(AVERAGE(D154:D160), 2), "")</f>
        <v/>
      </c>
      <c r="F160" s="19">
        <f>IF(D160&lt;&gt;"", ROUND(D160 - Setup!$B$6, 2), "")</f>
        <v/>
      </c>
      <c r="G160" s="9" t="inlineStr"/>
      <c r="H160" s="7" t="inlineStr">
        <is>
          <t>Follicular Phase</t>
        </is>
      </c>
      <c r="I160" s="8" t="inlineStr"/>
    </row>
    <row r="161" ht="22" customHeight="1">
      <c r="A161" s="10" t="inlineStr">
        <is>
          <t>2027-04-01</t>
        </is>
      </c>
      <c r="B161" s="10" t="n">
        <v>160</v>
      </c>
      <c r="C161" s="10" t="inlineStr">
        <is>
          <t>Thursday</t>
        </is>
      </c>
      <c r="D161" s="20" t="inlineStr"/>
      <c r="E161" s="20">
        <f>IF(D161&lt;&gt;"", ROUND(AVERAGE(D155:D161), 2), "")</f>
        <v/>
      </c>
      <c r="F161" s="20">
        <f>IF(D161&lt;&gt;"", ROUND(D161 - Setup!$B$6, 2), "")</f>
        <v/>
      </c>
      <c r="G161" s="12" t="inlineStr"/>
      <c r="H161" s="10" t="inlineStr">
        <is>
          <t>Follicular Phase</t>
        </is>
      </c>
      <c r="I161" s="11" t="inlineStr"/>
    </row>
    <row r="162" ht="22" customHeight="1">
      <c r="A162" s="7" t="inlineStr">
        <is>
          <t>2027-04-02</t>
        </is>
      </c>
      <c r="B162" s="7" t="n">
        <v>161</v>
      </c>
      <c r="C162" s="7" t="inlineStr">
        <is>
          <t>Friday</t>
        </is>
      </c>
      <c r="D162" s="19" t="inlineStr"/>
      <c r="E162" s="19">
        <f>IF(D162&lt;&gt;"", ROUND(AVERAGE(D156:D162), 2), "")</f>
        <v/>
      </c>
      <c r="F162" s="19">
        <f>IF(D162&lt;&gt;"", ROUND(D162 - Setup!$B$6, 2), "")</f>
        <v/>
      </c>
      <c r="G162" s="9" t="inlineStr"/>
      <c r="H162" s="7" t="inlineStr">
        <is>
          <t>Follicular Phase</t>
        </is>
      </c>
      <c r="I162" s="8" t="inlineStr"/>
    </row>
    <row r="163" ht="22" customHeight="1">
      <c r="A163" s="10" t="inlineStr">
        <is>
          <t>2027-04-03</t>
        </is>
      </c>
      <c r="B163" s="10" t="n">
        <v>162</v>
      </c>
      <c r="C163" s="10" t="inlineStr">
        <is>
          <t>Saturday</t>
        </is>
      </c>
      <c r="D163" s="20" t="inlineStr"/>
      <c r="E163" s="20">
        <f>IF(D163&lt;&gt;"", ROUND(AVERAGE(D157:D163), 2), "")</f>
        <v/>
      </c>
      <c r="F163" s="20">
        <f>IF(D163&lt;&gt;"", ROUND(D163 - Setup!$B$6, 2), "")</f>
        <v/>
      </c>
      <c r="G163" s="12" t="inlineStr"/>
      <c r="H163" s="10" t="inlineStr">
        <is>
          <t>Follicular Phase</t>
        </is>
      </c>
      <c r="I163" s="11" t="inlineStr"/>
    </row>
    <row r="164" ht="22" customHeight="1">
      <c r="A164" s="7" t="inlineStr">
        <is>
          <t>2027-04-04</t>
        </is>
      </c>
      <c r="B164" s="7" t="n">
        <v>163</v>
      </c>
      <c r="C164" s="7" t="inlineStr">
        <is>
          <t>Sunday</t>
        </is>
      </c>
      <c r="D164" s="19" t="inlineStr"/>
      <c r="E164" s="19">
        <f>IF(D164&lt;&gt;"", ROUND(AVERAGE(D158:D164), 2), "")</f>
        <v/>
      </c>
      <c r="F164" s="19">
        <f>IF(D164&lt;&gt;"", ROUND(D164 - Setup!$B$6, 2), "")</f>
        <v/>
      </c>
      <c r="G164" s="9" t="inlineStr"/>
      <c r="H164" s="7" t="inlineStr">
        <is>
          <t>Follicular Phase</t>
        </is>
      </c>
      <c r="I164" s="8" t="inlineStr"/>
    </row>
    <row r="165" ht="22" customHeight="1">
      <c r="A165" s="10" t="inlineStr">
        <is>
          <t>2027-04-05</t>
        </is>
      </c>
      <c r="B165" s="10" t="n">
        <v>164</v>
      </c>
      <c r="C165" s="10" t="inlineStr">
        <is>
          <t>Monday</t>
        </is>
      </c>
      <c r="D165" s="20" t="inlineStr"/>
      <c r="E165" s="20">
        <f>IF(D165&lt;&gt;"", ROUND(AVERAGE(D159:D165), 2), "")</f>
        <v/>
      </c>
      <c r="F165" s="20">
        <f>IF(D165&lt;&gt;"", ROUND(D165 - Setup!$B$6, 2), "")</f>
        <v/>
      </c>
      <c r="G165" s="12" t="inlineStr"/>
      <c r="H165" s="10" t="inlineStr">
        <is>
          <t>Follicular Phase</t>
        </is>
      </c>
      <c r="I165" s="11" t="inlineStr"/>
    </row>
    <row r="166" ht="22" customHeight="1">
      <c r="A166" s="7" t="inlineStr">
        <is>
          <t>2027-04-06</t>
        </is>
      </c>
      <c r="B166" s="7" t="n">
        <v>165</v>
      </c>
      <c r="C166" s="7" t="inlineStr">
        <is>
          <t>Tuesday</t>
        </is>
      </c>
      <c r="D166" s="19" t="inlineStr"/>
      <c r="E166" s="19">
        <f>IF(D166&lt;&gt;"", ROUND(AVERAGE(D160:D166), 2), "")</f>
        <v/>
      </c>
      <c r="F166" s="19">
        <f>IF(D166&lt;&gt;"", ROUND(D166 - Setup!$B$6, 2), "")</f>
        <v/>
      </c>
      <c r="G166" s="9" t="inlineStr"/>
      <c r="H166" s="7" t="inlineStr">
        <is>
          <t>Follicular Phase</t>
        </is>
      </c>
      <c r="I166" s="8" t="inlineStr"/>
    </row>
    <row r="167" ht="22" customHeight="1">
      <c r="A167" s="10" t="inlineStr">
        <is>
          <t>2027-04-07</t>
        </is>
      </c>
      <c r="B167" s="10" t="n">
        <v>166</v>
      </c>
      <c r="C167" s="10" t="inlineStr">
        <is>
          <t>Wednesday</t>
        </is>
      </c>
      <c r="D167" s="20" t="inlineStr"/>
      <c r="E167" s="20">
        <f>IF(D167&lt;&gt;"", ROUND(AVERAGE(D161:D167), 2), "")</f>
        <v/>
      </c>
      <c r="F167" s="20">
        <f>IF(D167&lt;&gt;"", ROUND(D167 - Setup!$B$6, 2), "")</f>
        <v/>
      </c>
      <c r="G167" s="12" t="inlineStr"/>
      <c r="H167" s="10" t="inlineStr">
        <is>
          <t>Follicular Phase</t>
        </is>
      </c>
      <c r="I167" s="11" t="inlineStr"/>
    </row>
    <row r="168" ht="22" customHeight="1">
      <c r="A168" s="7" t="inlineStr">
        <is>
          <t>2027-04-08</t>
        </is>
      </c>
      <c r="B168" s="7" t="n">
        <v>167</v>
      </c>
      <c r="C168" s="7" t="inlineStr">
        <is>
          <t>Thursday</t>
        </is>
      </c>
      <c r="D168" s="19" t="inlineStr"/>
      <c r="E168" s="19">
        <f>IF(D168&lt;&gt;"", ROUND(AVERAGE(D162:D168), 2), "")</f>
        <v/>
      </c>
      <c r="F168" s="19">
        <f>IF(D168&lt;&gt;"", ROUND(D168 - Setup!$B$6, 2), "")</f>
        <v/>
      </c>
      <c r="G168" s="9" t="inlineStr"/>
      <c r="H168" s="7" t="inlineStr">
        <is>
          <t>Follicular Phase</t>
        </is>
      </c>
      <c r="I168" s="8" t="inlineStr"/>
    </row>
    <row r="169" ht="22" customHeight="1">
      <c r="A169" s="10" t="inlineStr">
        <is>
          <t>2027-04-09</t>
        </is>
      </c>
      <c r="B169" s="10" t="n">
        <v>168</v>
      </c>
      <c r="C169" s="10" t="inlineStr">
        <is>
          <t>Friday</t>
        </is>
      </c>
      <c r="D169" s="20" t="inlineStr"/>
      <c r="E169" s="20">
        <f>IF(D169&lt;&gt;"", ROUND(AVERAGE(D163:D169), 2), "")</f>
        <v/>
      </c>
      <c r="F169" s="20">
        <f>IF(D169&lt;&gt;"", ROUND(D169 - Setup!$B$6, 2), "")</f>
        <v/>
      </c>
      <c r="G169" s="12" t="inlineStr"/>
      <c r="H169" s="10" t="inlineStr">
        <is>
          <t>Follicular Phase</t>
        </is>
      </c>
      <c r="I169" s="11" t="inlineStr"/>
    </row>
    <row r="170" ht="22" customHeight="1">
      <c r="A170" s="7" t="inlineStr">
        <is>
          <t>2027-04-10</t>
        </is>
      </c>
      <c r="B170" s="7" t="n">
        <v>169</v>
      </c>
      <c r="C170" s="7" t="inlineStr">
        <is>
          <t>Saturday</t>
        </is>
      </c>
      <c r="D170" s="19" t="inlineStr"/>
      <c r="E170" s="19">
        <f>IF(D170&lt;&gt;"", ROUND(AVERAGE(D164:D170), 2), "")</f>
        <v/>
      </c>
      <c r="F170" s="19">
        <f>IF(D170&lt;&gt;"", ROUND(D170 - Setup!$B$6, 2), "")</f>
        <v/>
      </c>
      <c r="G170" s="9" t="inlineStr"/>
      <c r="H170" s="7" t="inlineStr">
        <is>
          <t>Follicular Phase</t>
        </is>
      </c>
      <c r="I170" s="8" t="inlineStr"/>
    </row>
    <row r="171" ht="22" customHeight="1">
      <c r="A171" s="10" t="inlineStr">
        <is>
          <t>2027-04-11</t>
        </is>
      </c>
      <c r="B171" s="10" t="n">
        <v>170</v>
      </c>
      <c r="C171" s="10" t="inlineStr">
        <is>
          <t>Sunday</t>
        </is>
      </c>
      <c r="D171" s="20" t="inlineStr"/>
      <c r="E171" s="20">
        <f>IF(D171&lt;&gt;"", ROUND(AVERAGE(D165:D171), 2), "")</f>
        <v/>
      </c>
      <c r="F171" s="20">
        <f>IF(D171&lt;&gt;"", ROUND(D171 - Setup!$B$6, 2), "")</f>
        <v/>
      </c>
      <c r="G171" s="12" t="inlineStr"/>
      <c r="H171" s="10" t="inlineStr">
        <is>
          <t>Follicular Phase</t>
        </is>
      </c>
      <c r="I171" s="11" t="inlineStr"/>
    </row>
    <row r="172" ht="22" customHeight="1">
      <c r="A172" s="7" t="inlineStr">
        <is>
          <t>2027-04-12</t>
        </is>
      </c>
      <c r="B172" s="7" t="n">
        <v>171</v>
      </c>
      <c r="C172" s="7" t="inlineStr">
        <is>
          <t>Monday</t>
        </is>
      </c>
      <c r="D172" s="19" t="inlineStr"/>
      <c r="E172" s="19">
        <f>IF(D172&lt;&gt;"", ROUND(AVERAGE(D166:D172), 2), "")</f>
        <v/>
      </c>
      <c r="F172" s="19">
        <f>IF(D172&lt;&gt;"", ROUND(D172 - Setup!$B$6, 2), "")</f>
        <v/>
      </c>
      <c r="G172" s="9" t="inlineStr"/>
      <c r="H172" s="7" t="inlineStr">
        <is>
          <t>Follicular Phase</t>
        </is>
      </c>
      <c r="I172" s="8" t="inlineStr"/>
    </row>
    <row r="173" ht="22" customHeight="1">
      <c r="A173" s="10" t="inlineStr">
        <is>
          <t>2027-04-13</t>
        </is>
      </c>
      <c r="B173" s="10" t="n">
        <v>172</v>
      </c>
      <c r="C173" s="10" t="inlineStr">
        <is>
          <t>Tuesday</t>
        </is>
      </c>
      <c r="D173" s="20" t="inlineStr"/>
      <c r="E173" s="20">
        <f>IF(D173&lt;&gt;"", ROUND(AVERAGE(D167:D173), 2), "")</f>
        <v/>
      </c>
      <c r="F173" s="20">
        <f>IF(D173&lt;&gt;"", ROUND(D173 - Setup!$B$6, 2), "")</f>
        <v/>
      </c>
      <c r="G173" s="12" t="inlineStr"/>
      <c r="H173" s="10" t="inlineStr">
        <is>
          <t>Follicular Phase</t>
        </is>
      </c>
      <c r="I173" s="11" t="inlineStr"/>
    </row>
    <row r="174" ht="22" customHeight="1">
      <c r="A174" s="7" t="inlineStr">
        <is>
          <t>2027-04-14</t>
        </is>
      </c>
      <c r="B174" s="7" t="n">
        <v>173</v>
      </c>
      <c r="C174" s="7" t="inlineStr">
        <is>
          <t>Wednesday</t>
        </is>
      </c>
      <c r="D174" s="19" t="inlineStr"/>
      <c r="E174" s="19">
        <f>IF(D174&lt;&gt;"", ROUND(AVERAGE(D168:D174), 2), "")</f>
        <v/>
      </c>
      <c r="F174" s="19">
        <f>IF(D174&lt;&gt;"", ROUND(D174 - Setup!$B$6, 2), "")</f>
        <v/>
      </c>
      <c r="G174" s="9" t="inlineStr"/>
      <c r="H174" s="7" t="inlineStr">
        <is>
          <t>Follicular Phase</t>
        </is>
      </c>
      <c r="I174" s="8" t="inlineStr"/>
    </row>
    <row r="175" ht="22" customHeight="1">
      <c r="A175" s="10" t="inlineStr">
        <is>
          <t>2027-04-15</t>
        </is>
      </c>
      <c r="B175" s="10" t="n">
        <v>174</v>
      </c>
      <c r="C175" s="10" t="inlineStr">
        <is>
          <t>Thursday</t>
        </is>
      </c>
      <c r="D175" s="20" t="inlineStr"/>
      <c r="E175" s="20">
        <f>IF(D175&lt;&gt;"", ROUND(AVERAGE(D169:D175), 2), "")</f>
        <v/>
      </c>
      <c r="F175" s="20">
        <f>IF(D175&lt;&gt;"", ROUND(D175 - Setup!$B$6, 2), "")</f>
        <v/>
      </c>
      <c r="G175" s="12" t="inlineStr"/>
      <c r="H175" s="10" t="inlineStr">
        <is>
          <t>Follicular Phase</t>
        </is>
      </c>
      <c r="I175" s="11" t="inlineStr"/>
    </row>
    <row r="176" ht="22" customHeight="1">
      <c r="A176" s="7" t="inlineStr">
        <is>
          <t>2027-04-16</t>
        </is>
      </c>
      <c r="B176" s="7" t="n">
        <v>175</v>
      </c>
      <c r="C176" s="7" t="inlineStr">
        <is>
          <t>Friday</t>
        </is>
      </c>
      <c r="D176" s="19" t="inlineStr"/>
      <c r="E176" s="19">
        <f>IF(D176&lt;&gt;"", ROUND(AVERAGE(D170:D176), 2), "")</f>
        <v/>
      </c>
      <c r="F176" s="19">
        <f>IF(D176&lt;&gt;"", ROUND(D176 - Setup!$B$6, 2), "")</f>
        <v/>
      </c>
      <c r="G176" s="9" t="inlineStr"/>
      <c r="H176" s="7" t="inlineStr">
        <is>
          <t>Follicular Phase</t>
        </is>
      </c>
      <c r="I176" s="8" t="inlineStr"/>
    </row>
    <row r="177" ht="22" customHeight="1">
      <c r="A177" s="10" t="inlineStr">
        <is>
          <t>2027-04-17</t>
        </is>
      </c>
      <c r="B177" s="10" t="n">
        <v>176</v>
      </c>
      <c r="C177" s="10" t="inlineStr">
        <is>
          <t>Saturday</t>
        </is>
      </c>
      <c r="D177" s="20" t="inlineStr"/>
      <c r="E177" s="20">
        <f>IF(D177&lt;&gt;"", ROUND(AVERAGE(D171:D177), 2), "")</f>
        <v/>
      </c>
      <c r="F177" s="20">
        <f>IF(D177&lt;&gt;"", ROUND(D177 - Setup!$B$6, 2), "")</f>
        <v/>
      </c>
      <c r="G177" s="12" t="inlineStr"/>
      <c r="H177" s="10" t="inlineStr">
        <is>
          <t>Follicular Phase</t>
        </is>
      </c>
      <c r="I177" s="11" t="inlineStr"/>
    </row>
    <row r="178" ht="22" customHeight="1">
      <c r="A178" s="7" t="inlineStr">
        <is>
          <t>2027-04-18</t>
        </is>
      </c>
      <c r="B178" s="7" t="n">
        <v>177</v>
      </c>
      <c r="C178" s="7" t="inlineStr">
        <is>
          <t>Sunday</t>
        </is>
      </c>
      <c r="D178" s="19" t="inlineStr"/>
      <c r="E178" s="19">
        <f>IF(D178&lt;&gt;"", ROUND(AVERAGE(D172:D178), 2), "")</f>
        <v/>
      </c>
      <c r="F178" s="19">
        <f>IF(D178&lt;&gt;"", ROUND(D178 - Setup!$B$6, 2), "")</f>
        <v/>
      </c>
      <c r="G178" s="9" t="inlineStr"/>
      <c r="H178" s="7" t="inlineStr">
        <is>
          <t>Follicular Phase</t>
        </is>
      </c>
      <c r="I178" s="8" t="inlineStr"/>
    </row>
    <row r="179" ht="22" customHeight="1">
      <c r="A179" s="10" t="inlineStr">
        <is>
          <t>2027-04-19</t>
        </is>
      </c>
      <c r="B179" s="10" t="n">
        <v>178</v>
      </c>
      <c r="C179" s="10" t="inlineStr">
        <is>
          <t>Monday</t>
        </is>
      </c>
      <c r="D179" s="20" t="inlineStr"/>
      <c r="E179" s="20">
        <f>IF(D179&lt;&gt;"", ROUND(AVERAGE(D173:D179), 2), "")</f>
        <v/>
      </c>
      <c r="F179" s="20">
        <f>IF(D179&lt;&gt;"", ROUND(D179 - Setup!$B$6, 2), "")</f>
        <v/>
      </c>
      <c r="G179" s="12" t="inlineStr"/>
      <c r="H179" s="10" t="inlineStr">
        <is>
          <t>Follicular Phase</t>
        </is>
      </c>
      <c r="I179" s="11" t="inlineStr"/>
    </row>
    <row r="180" ht="22" customHeight="1">
      <c r="A180" s="7" t="inlineStr">
        <is>
          <t>2027-04-20</t>
        </is>
      </c>
      <c r="B180" s="7" t="n">
        <v>179</v>
      </c>
      <c r="C180" s="7" t="inlineStr">
        <is>
          <t>Tuesday</t>
        </is>
      </c>
      <c r="D180" s="19" t="inlineStr"/>
      <c r="E180" s="19">
        <f>IF(D180&lt;&gt;"", ROUND(AVERAGE(D174:D180), 2), "")</f>
        <v/>
      </c>
      <c r="F180" s="19">
        <f>IF(D180&lt;&gt;"", ROUND(D180 - Setup!$B$6, 2), "")</f>
        <v/>
      </c>
      <c r="G180" s="9" t="inlineStr"/>
      <c r="H180" s="7" t="inlineStr">
        <is>
          <t>Follicular Phase</t>
        </is>
      </c>
      <c r="I180" s="8" t="inlineStr"/>
    </row>
    <row r="181" ht="22" customHeight="1">
      <c r="A181" s="10" t="inlineStr">
        <is>
          <t>2027-04-21</t>
        </is>
      </c>
      <c r="B181" s="10" t="n">
        <v>180</v>
      </c>
      <c r="C181" s="10" t="inlineStr">
        <is>
          <t>Wednesday</t>
        </is>
      </c>
      <c r="D181" s="20" t="inlineStr"/>
      <c r="E181" s="20">
        <f>IF(D181&lt;&gt;"", ROUND(AVERAGE(D175:D181), 2), "")</f>
        <v/>
      </c>
      <c r="F181" s="20">
        <f>IF(D181&lt;&gt;"", ROUND(D181 - Setup!$B$6, 2), "")</f>
        <v/>
      </c>
      <c r="G181" s="12" t="inlineStr"/>
      <c r="H181" s="10" t="inlineStr">
        <is>
          <t>Follicular Phase</t>
        </is>
      </c>
      <c r="I181" s="11" t="inlineStr"/>
    </row>
    <row r="182" ht="22" customHeight="1">
      <c r="A182" s="7" t="inlineStr">
        <is>
          <t>2027-04-22</t>
        </is>
      </c>
      <c r="B182" s="7" t="n">
        <v>181</v>
      </c>
      <c r="C182" s="7" t="inlineStr">
        <is>
          <t>Thursday</t>
        </is>
      </c>
      <c r="D182" s="19" t="inlineStr"/>
      <c r="E182" s="19">
        <f>IF(D182&lt;&gt;"", ROUND(AVERAGE(D176:D182), 2), "")</f>
        <v/>
      </c>
      <c r="F182" s="19">
        <f>IF(D182&lt;&gt;"", ROUND(D182 - Setup!$B$6, 2), "")</f>
        <v/>
      </c>
      <c r="G182" s="9" t="inlineStr"/>
      <c r="H182" s="7" t="inlineStr">
        <is>
          <t>Follicular Phase</t>
        </is>
      </c>
      <c r="I182" s="8" t="inlineStr"/>
    </row>
    <row r="183" ht="22" customHeight="1">
      <c r="A183" s="10" t="inlineStr">
        <is>
          <t>2027-04-23</t>
        </is>
      </c>
      <c r="B183" s="10" t="n">
        <v>182</v>
      </c>
      <c r="C183" s="10" t="inlineStr">
        <is>
          <t>Friday</t>
        </is>
      </c>
      <c r="D183" s="20" t="inlineStr"/>
      <c r="E183" s="20">
        <f>IF(D183&lt;&gt;"", ROUND(AVERAGE(D177:D183), 2), "")</f>
        <v/>
      </c>
      <c r="F183" s="20">
        <f>IF(D183&lt;&gt;"", ROUND(D183 - Setup!$B$6, 2), "")</f>
        <v/>
      </c>
      <c r="G183" s="12" t="inlineStr"/>
      <c r="H183" s="10" t="inlineStr">
        <is>
          <t>Follicular Phase</t>
        </is>
      </c>
      <c r="I183" s="11" t="inlineStr"/>
    </row>
    <row r="184" ht="22" customHeight="1">
      <c r="A184" s="7" t="inlineStr">
        <is>
          <t>2027-04-24</t>
        </is>
      </c>
      <c r="B184" s="7" t="n">
        <v>183</v>
      </c>
      <c r="C184" s="7" t="inlineStr">
        <is>
          <t>Saturday</t>
        </is>
      </c>
      <c r="D184" s="19" t="inlineStr"/>
      <c r="E184" s="19">
        <f>IF(D184&lt;&gt;"", ROUND(AVERAGE(D178:D184), 2), "")</f>
        <v/>
      </c>
      <c r="F184" s="19">
        <f>IF(D184&lt;&gt;"", ROUND(D184 - Setup!$B$6, 2), "")</f>
        <v/>
      </c>
      <c r="G184" s="9" t="inlineStr"/>
      <c r="H184" s="7" t="inlineStr">
        <is>
          <t>Follicular Phase</t>
        </is>
      </c>
      <c r="I184" s="8" t="inlineStr"/>
    </row>
    <row r="185" ht="22" customHeight="1">
      <c r="A185" s="10" t="inlineStr">
        <is>
          <t>2027-04-25</t>
        </is>
      </c>
      <c r="B185" s="10" t="n">
        <v>184</v>
      </c>
      <c r="C185" s="10" t="inlineStr">
        <is>
          <t>Sunday</t>
        </is>
      </c>
      <c r="D185" s="20" t="inlineStr"/>
      <c r="E185" s="20">
        <f>IF(D185&lt;&gt;"", ROUND(AVERAGE(D179:D185), 2), "")</f>
        <v/>
      </c>
      <c r="F185" s="20">
        <f>IF(D185&lt;&gt;"", ROUND(D185 - Setup!$B$6, 2), "")</f>
        <v/>
      </c>
      <c r="G185" s="12" t="inlineStr"/>
      <c r="H185" s="10" t="inlineStr">
        <is>
          <t>Follicular Phase</t>
        </is>
      </c>
      <c r="I185" s="11" t="inlineStr"/>
    </row>
    <row r="186" ht="22" customHeight="1">
      <c r="A186" s="7" t="inlineStr">
        <is>
          <t>2027-04-26</t>
        </is>
      </c>
      <c r="B186" s="7" t="n">
        <v>185</v>
      </c>
      <c r="C186" s="7" t="inlineStr">
        <is>
          <t>Monday</t>
        </is>
      </c>
      <c r="D186" s="19" t="inlineStr"/>
      <c r="E186" s="19">
        <f>IF(D186&lt;&gt;"", ROUND(AVERAGE(D180:D186), 2), "")</f>
        <v/>
      </c>
      <c r="F186" s="19">
        <f>IF(D186&lt;&gt;"", ROUND(D186 - Setup!$B$6, 2), "")</f>
        <v/>
      </c>
      <c r="G186" s="9" t="inlineStr"/>
      <c r="H186" s="7" t="inlineStr">
        <is>
          <t>Follicular Phase</t>
        </is>
      </c>
      <c r="I186" s="8" t="inlineStr"/>
    </row>
    <row r="187" ht="22" customHeight="1">
      <c r="A187" s="10" t="inlineStr">
        <is>
          <t>2027-04-27</t>
        </is>
      </c>
      <c r="B187" s="10" t="n">
        <v>186</v>
      </c>
      <c r="C187" s="10" t="inlineStr">
        <is>
          <t>Tuesday</t>
        </is>
      </c>
      <c r="D187" s="20" t="inlineStr"/>
      <c r="E187" s="20">
        <f>IF(D187&lt;&gt;"", ROUND(AVERAGE(D181:D187), 2), "")</f>
        <v/>
      </c>
      <c r="F187" s="20">
        <f>IF(D187&lt;&gt;"", ROUND(D187 - Setup!$B$6, 2), "")</f>
        <v/>
      </c>
      <c r="G187" s="12" t="inlineStr"/>
      <c r="H187" s="10" t="inlineStr">
        <is>
          <t>Follicular Phase</t>
        </is>
      </c>
      <c r="I187" s="11" t="inlineStr"/>
    </row>
    <row r="188" ht="22" customHeight="1">
      <c r="A188" s="7" t="inlineStr">
        <is>
          <t>2027-04-28</t>
        </is>
      </c>
      <c r="B188" s="7" t="n">
        <v>187</v>
      </c>
      <c r="C188" s="7" t="inlineStr">
        <is>
          <t>Wednesday</t>
        </is>
      </c>
      <c r="D188" s="19" t="inlineStr"/>
      <c r="E188" s="19">
        <f>IF(D188&lt;&gt;"", ROUND(AVERAGE(D182:D188), 2), "")</f>
        <v/>
      </c>
      <c r="F188" s="19">
        <f>IF(D188&lt;&gt;"", ROUND(D188 - Setup!$B$6, 2), "")</f>
        <v/>
      </c>
      <c r="G188" s="9" t="inlineStr"/>
      <c r="H188" s="7" t="inlineStr">
        <is>
          <t>Follicular Phase</t>
        </is>
      </c>
      <c r="I188" s="8" t="inlineStr"/>
    </row>
    <row r="189" ht="22" customHeight="1">
      <c r="A189" s="10" t="inlineStr">
        <is>
          <t>2027-04-29</t>
        </is>
      </c>
      <c r="B189" s="10" t="n">
        <v>188</v>
      </c>
      <c r="C189" s="10" t="inlineStr">
        <is>
          <t>Thursday</t>
        </is>
      </c>
      <c r="D189" s="20" t="inlineStr"/>
      <c r="E189" s="20">
        <f>IF(D189&lt;&gt;"", ROUND(AVERAGE(D183:D189), 2), "")</f>
        <v/>
      </c>
      <c r="F189" s="20">
        <f>IF(D189&lt;&gt;"", ROUND(D189 - Setup!$B$6, 2), "")</f>
        <v/>
      </c>
      <c r="G189" s="12" t="inlineStr"/>
      <c r="H189" s="10" t="inlineStr">
        <is>
          <t>Follicular Phase</t>
        </is>
      </c>
      <c r="I189" s="11" t="inlineStr"/>
    </row>
    <row r="190" ht="22" customHeight="1">
      <c r="A190" s="7" t="inlineStr">
        <is>
          <t>2027-04-30</t>
        </is>
      </c>
      <c r="B190" s="7" t="n">
        <v>189</v>
      </c>
      <c r="C190" s="7" t="inlineStr">
        <is>
          <t>Friday</t>
        </is>
      </c>
      <c r="D190" s="19" t="inlineStr"/>
      <c r="E190" s="19">
        <f>IF(D190&lt;&gt;"", ROUND(AVERAGE(D184:D190), 2), "")</f>
        <v/>
      </c>
      <c r="F190" s="19">
        <f>IF(D190&lt;&gt;"", ROUND(D190 - Setup!$B$6, 2), "")</f>
        <v/>
      </c>
      <c r="G190" s="9" t="inlineStr"/>
      <c r="H190" s="7" t="inlineStr">
        <is>
          <t>Follicular Phase</t>
        </is>
      </c>
      <c r="I190" s="8" t="inlineStr"/>
    </row>
    <row r="191" ht="22" customHeight="1">
      <c r="A191" s="10" t="inlineStr">
        <is>
          <t>2027-05-01</t>
        </is>
      </c>
      <c r="B191" s="10" t="n">
        <v>190</v>
      </c>
      <c r="C191" s="10" t="inlineStr">
        <is>
          <t>Saturday</t>
        </is>
      </c>
      <c r="D191" s="20" t="inlineStr"/>
      <c r="E191" s="20">
        <f>IF(D191&lt;&gt;"", ROUND(AVERAGE(D185:D191), 2), "")</f>
        <v/>
      </c>
      <c r="F191" s="20">
        <f>IF(D191&lt;&gt;"", ROUND(D191 - Setup!$B$6, 2), "")</f>
        <v/>
      </c>
      <c r="G191" s="12" t="inlineStr"/>
      <c r="H191" s="10" t="inlineStr">
        <is>
          <t>Follicular Phase</t>
        </is>
      </c>
      <c r="I191" s="11" t="inlineStr"/>
    </row>
    <row r="192" ht="22" customHeight="1">
      <c r="A192" s="7" t="inlineStr">
        <is>
          <t>2027-05-02</t>
        </is>
      </c>
      <c r="B192" s="7" t="n">
        <v>191</v>
      </c>
      <c r="C192" s="7" t="inlineStr">
        <is>
          <t>Sunday</t>
        </is>
      </c>
      <c r="D192" s="19" t="inlineStr"/>
      <c r="E192" s="19">
        <f>IF(D192&lt;&gt;"", ROUND(AVERAGE(D186:D192), 2), "")</f>
        <v/>
      </c>
      <c r="F192" s="19">
        <f>IF(D192&lt;&gt;"", ROUND(D192 - Setup!$B$6, 2), "")</f>
        <v/>
      </c>
      <c r="G192" s="9" t="inlineStr"/>
      <c r="H192" s="7" t="inlineStr">
        <is>
          <t>Follicular Phase</t>
        </is>
      </c>
      <c r="I192" s="8" t="inlineStr"/>
    </row>
    <row r="193" ht="22" customHeight="1">
      <c r="A193" s="10" t="inlineStr">
        <is>
          <t>2027-05-03</t>
        </is>
      </c>
      <c r="B193" s="10" t="n">
        <v>192</v>
      </c>
      <c r="C193" s="10" t="inlineStr">
        <is>
          <t>Monday</t>
        </is>
      </c>
      <c r="D193" s="20" t="inlineStr"/>
      <c r="E193" s="20">
        <f>IF(D193&lt;&gt;"", ROUND(AVERAGE(D187:D193), 2), "")</f>
        <v/>
      </c>
      <c r="F193" s="20">
        <f>IF(D193&lt;&gt;"", ROUND(D193 - Setup!$B$6, 2), "")</f>
        <v/>
      </c>
      <c r="G193" s="12" t="inlineStr"/>
      <c r="H193" s="10" t="inlineStr">
        <is>
          <t>Follicular Phase</t>
        </is>
      </c>
      <c r="I193" s="11" t="inlineStr"/>
    </row>
    <row r="194" ht="22" customHeight="1">
      <c r="A194" s="7" t="inlineStr">
        <is>
          <t>2027-05-04</t>
        </is>
      </c>
      <c r="B194" s="7" t="n">
        <v>193</v>
      </c>
      <c r="C194" s="7" t="inlineStr">
        <is>
          <t>Tuesday</t>
        </is>
      </c>
      <c r="D194" s="19" t="inlineStr"/>
      <c r="E194" s="19">
        <f>IF(D194&lt;&gt;"", ROUND(AVERAGE(D188:D194), 2), "")</f>
        <v/>
      </c>
      <c r="F194" s="19">
        <f>IF(D194&lt;&gt;"", ROUND(D194 - Setup!$B$6, 2), "")</f>
        <v/>
      </c>
      <c r="G194" s="9" t="inlineStr"/>
      <c r="H194" s="7" t="inlineStr">
        <is>
          <t>Follicular Phase</t>
        </is>
      </c>
      <c r="I194" s="8" t="inlineStr"/>
    </row>
    <row r="195" ht="22" customHeight="1">
      <c r="A195" s="10" t="inlineStr">
        <is>
          <t>2027-05-05</t>
        </is>
      </c>
      <c r="B195" s="10" t="n">
        <v>194</v>
      </c>
      <c r="C195" s="10" t="inlineStr">
        <is>
          <t>Wednesday</t>
        </is>
      </c>
      <c r="D195" s="20" t="inlineStr"/>
      <c r="E195" s="20">
        <f>IF(D195&lt;&gt;"", ROUND(AVERAGE(D189:D195), 2), "")</f>
        <v/>
      </c>
      <c r="F195" s="20">
        <f>IF(D195&lt;&gt;"", ROUND(D195 - Setup!$B$6, 2), "")</f>
        <v/>
      </c>
      <c r="G195" s="12" t="inlineStr"/>
      <c r="H195" s="10" t="inlineStr">
        <is>
          <t>Follicular Phase</t>
        </is>
      </c>
      <c r="I195" s="11" t="inlineStr"/>
    </row>
    <row r="196" ht="22" customHeight="1">
      <c r="A196" s="7" t="inlineStr">
        <is>
          <t>2027-05-06</t>
        </is>
      </c>
      <c r="B196" s="7" t="n">
        <v>195</v>
      </c>
      <c r="C196" s="7" t="inlineStr">
        <is>
          <t>Thursday</t>
        </is>
      </c>
      <c r="D196" s="19" t="inlineStr"/>
      <c r="E196" s="19">
        <f>IF(D196&lt;&gt;"", ROUND(AVERAGE(D190:D196), 2), "")</f>
        <v/>
      </c>
      <c r="F196" s="19">
        <f>IF(D196&lt;&gt;"", ROUND(D196 - Setup!$B$6, 2), "")</f>
        <v/>
      </c>
      <c r="G196" s="9" t="inlineStr"/>
      <c r="H196" s="7" t="inlineStr">
        <is>
          <t>Follicular Phase</t>
        </is>
      </c>
      <c r="I196" s="8" t="inlineStr"/>
    </row>
    <row r="197" ht="22" customHeight="1">
      <c r="A197" s="10" t="inlineStr">
        <is>
          <t>2027-05-07</t>
        </is>
      </c>
      <c r="B197" s="10" t="n">
        <v>196</v>
      </c>
      <c r="C197" s="10" t="inlineStr">
        <is>
          <t>Friday</t>
        </is>
      </c>
      <c r="D197" s="20" t="inlineStr"/>
      <c r="E197" s="20">
        <f>IF(D197&lt;&gt;"", ROUND(AVERAGE(D191:D197), 2), "")</f>
        <v/>
      </c>
      <c r="F197" s="20">
        <f>IF(D197&lt;&gt;"", ROUND(D197 - Setup!$B$6, 2), "")</f>
        <v/>
      </c>
      <c r="G197" s="12" t="inlineStr"/>
      <c r="H197" s="10" t="inlineStr">
        <is>
          <t>Follicular Phase</t>
        </is>
      </c>
      <c r="I197" s="11" t="inlineStr"/>
    </row>
    <row r="198" ht="22" customHeight="1">
      <c r="A198" s="7" t="inlineStr">
        <is>
          <t>2027-05-08</t>
        </is>
      </c>
      <c r="B198" s="7" t="n">
        <v>197</v>
      </c>
      <c r="C198" s="7" t="inlineStr">
        <is>
          <t>Saturday</t>
        </is>
      </c>
      <c r="D198" s="19" t="inlineStr"/>
      <c r="E198" s="19">
        <f>IF(D198&lt;&gt;"", ROUND(AVERAGE(D192:D198), 2), "")</f>
        <v/>
      </c>
      <c r="F198" s="19">
        <f>IF(D198&lt;&gt;"", ROUND(D198 - Setup!$B$6, 2), "")</f>
        <v/>
      </c>
      <c r="G198" s="9" t="inlineStr"/>
      <c r="H198" s="7" t="inlineStr">
        <is>
          <t>Follicular Phase</t>
        </is>
      </c>
      <c r="I198" s="8" t="inlineStr"/>
    </row>
    <row r="199" ht="22" customHeight="1">
      <c r="A199" s="10" t="inlineStr">
        <is>
          <t>2027-05-09</t>
        </is>
      </c>
      <c r="B199" s="10" t="n">
        <v>198</v>
      </c>
      <c r="C199" s="10" t="inlineStr">
        <is>
          <t>Sunday</t>
        </is>
      </c>
      <c r="D199" s="20" t="inlineStr"/>
      <c r="E199" s="20">
        <f>IF(D199&lt;&gt;"", ROUND(AVERAGE(D193:D199), 2), "")</f>
        <v/>
      </c>
      <c r="F199" s="20">
        <f>IF(D199&lt;&gt;"", ROUND(D199 - Setup!$B$6, 2), "")</f>
        <v/>
      </c>
      <c r="G199" s="12" t="inlineStr"/>
      <c r="H199" s="10" t="inlineStr">
        <is>
          <t>Follicular Phase</t>
        </is>
      </c>
      <c r="I199" s="11" t="inlineStr"/>
    </row>
    <row r="200" ht="22" customHeight="1">
      <c r="A200" s="7" t="inlineStr">
        <is>
          <t>2027-05-10</t>
        </is>
      </c>
      <c r="B200" s="7" t="n">
        <v>199</v>
      </c>
      <c r="C200" s="7" t="inlineStr">
        <is>
          <t>Monday</t>
        </is>
      </c>
      <c r="D200" s="19" t="inlineStr"/>
      <c r="E200" s="19">
        <f>IF(D200&lt;&gt;"", ROUND(AVERAGE(D194:D200), 2), "")</f>
        <v/>
      </c>
      <c r="F200" s="19">
        <f>IF(D200&lt;&gt;"", ROUND(D200 - Setup!$B$6, 2), "")</f>
        <v/>
      </c>
      <c r="G200" s="9" t="inlineStr"/>
      <c r="H200" s="7" t="inlineStr">
        <is>
          <t>Follicular Phase</t>
        </is>
      </c>
      <c r="I200" s="8" t="inlineStr"/>
    </row>
    <row r="201" ht="22" customHeight="1">
      <c r="A201" s="10" t="inlineStr">
        <is>
          <t>2027-05-11</t>
        </is>
      </c>
      <c r="B201" s="10" t="n">
        <v>200</v>
      </c>
      <c r="C201" s="10" t="inlineStr">
        <is>
          <t>Tuesday</t>
        </is>
      </c>
      <c r="D201" s="20" t="inlineStr"/>
      <c r="E201" s="20">
        <f>IF(D201&lt;&gt;"", ROUND(AVERAGE(D195:D201), 2), "")</f>
        <v/>
      </c>
      <c r="F201" s="20">
        <f>IF(D201&lt;&gt;"", ROUND(D201 - Setup!$B$6, 2), "")</f>
        <v/>
      </c>
      <c r="G201" s="12" t="inlineStr"/>
      <c r="H201" s="10" t="inlineStr">
        <is>
          <t>Follicular Phase</t>
        </is>
      </c>
      <c r="I201" s="11" t="inlineStr"/>
    </row>
    <row r="202" ht="22" customHeight="1">
      <c r="A202" s="7" t="inlineStr">
        <is>
          <t>2027-05-12</t>
        </is>
      </c>
      <c r="B202" s="7" t="n">
        <v>201</v>
      </c>
      <c r="C202" s="7" t="inlineStr">
        <is>
          <t>Wednesday</t>
        </is>
      </c>
      <c r="D202" s="19" t="inlineStr"/>
      <c r="E202" s="19">
        <f>IF(D202&lt;&gt;"", ROUND(AVERAGE(D196:D202), 2), "")</f>
        <v/>
      </c>
      <c r="F202" s="19">
        <f>IF(D202&lt;&gt;"", ROUND(D202 - Setup!$B$6, 2), "")</f>
        <v/>
      </c>
      <c r="G202" s="9" t="inlineStr"/>
      <c r="H202" s="7" t="inlineStr">
        <is>
          <t>Follicular Phase</t>
        </is>
      </c>
      <c r="I202" s="8" t="inlineStr"/>
    </row>
    <row r="203" ht="22" customHeight="1">
      <c r="A203" s="10" t="inlineStr">
        <is>
          <t>2027-05-13</t>
        </is>
      </c>
      <c r="B203" s="10" t="n">
        <v>202</v>
      </c>
      <c r="C203" s="10" t="inlineStr">
        <is>
          <t>Thursday</t>
        </is>
      </c>
      <c r="D203" s="20" t="inlineStr"/>
      <c r="E203" s="20">
        <f>IF(D203&lt;&gt;"", ROUND(AVERAGE(D197:D203), 2), "")</f>
        <v/>
      </c>
      <c r="F203" s="20">
        <f>IF(D203&lt;&gt;"", ROUND(D203 - Setup!$B$6, 2), "")</f>
        <v/>
      </c>
      <c r="G203" s="12" t="inlineStr"/>
      <c r="H203" s="10" t="inlineStr">
        <is>
          <t>Follicular Phase</t>
        </is>
      </c>
      <c r="I203" s="11" t="inlineStr"/>
    </row>
    <row r="204" ht="22" customHeight="1">
      <c r="A204" s="7" t="inlineStr">
        <is>
          <t>2027-05-14</t>
        </is>
      </c>
      <c r="B204" s="7" t="n">
        <v>203</v>
      </c>
      <c r="C204" s="7" t="inlineStr">
        <is>
          <t>Friday</t>
        </is>
      </c>
      <c r="D204" s="19" t="inlineStr"/>
      <c r="E204" s="19">
        <f>IF(D204&lt;&gt;"", ROUND(AVERAGE(D198:D204), 2), "")</f>
        <v/>
      </c>
      <c r="F204" s="19">
        <f>IF(D204&lt;&gt;"", ROUND(D204 - Setup!$B$6, 2), "")</f>
        <v/>
      </c>
      <c r="G204" s="9" t="inlineStr"/>
      <c r="H204" s="7" t="inlineStr">
        <is>
          <t>Follicular Phase</t>
        </is>
      </c>
      <c r="I204" s="8" t="inlineStr"/>
    </row>
    <row r="205" ht="22" customHeight="1">
      <c r="A205" s="10" t="inlineStr">
        <is>
          <t>2027-05-15</t>
        </is>
      </c>
      <c r="B205" s="10" t="n">
        <v>204</v>
      </c>
      <c r="C205" s="10" t="inlineStr">
        <is>
          <t>Saturday</t>
        </is>
      </c>
      <c r="D205" s="20" t="inlineStr"/>
      <c r="E205" s="20">
        <f>IF(D205&lt;&gt;"", ROUND(AVERAGE(D199:D205), 2), "")</f>
        <v/>
      </c>
      <c r="F205" s="20">
        <f>IF(D205&lt;&gt;"", ROUND(D205 - Setup!$B$6, 2), "")</f>
        <v/>
      </c>
      <c r="G205" s="12" t="inlineStr"/>
      <c r="H205" s="10" t="inlineStr">
        <is>
          <t>Follicular Phase</t>
        </is>
      </c>
      <c r="I205" s="11" t="inlineStr"/>
    </row>
    <row r="206" ht="22" customHeight="1">
      <c r="A206" s="7" t="inlineStr">
        <is>
          <t>2027-05-16</t>
        </is>
      </c>
      <c r="B206" s="7" t="n">
        <v>205</v>
      </c>
      <c r="C206" s="7" t="inlineStr">
        <is>
          <t>Sunday</t>
        </is>
      </c>
      <c r="D206" s="19" t="inlineStr"/>
      <c r="E206" s="19">
        <f>IF(D206&lt;&gt;"", ROUND(AVERAGE(D200:D206), 2), "")</f>
        <v/>
      </c>
      <c r="F206" s="19">
        <f>IF(D206&lt;&gt;"", ROUND(D206 - Setup!$B$6, 2), "")</f>
        <v/>
      </c>
      <c r="G206" s="9" t="inlineStr"/>
      <c r="H206" s="7" t="inlineStr">
        <is>
          <t>Follicular Phase</t>
        </is>
      </c>
      <c r="I206" s="8" t="inlineStr"/>
    </row>
    <row r="207" ht="22" customHeight="1">
      <c r="A207" s="10" t="inlineStr">
        <is>
          <t>2027-05-17</t>
        </is>
      </c>
      <c r="B207" s="10" t="n">
        <v>206</v>
      </c>
      <c r="C207" s="10" t="inlineStr">
        <is>
          <t>Monday</t>
        </is>
      </c>
      <c r="D207" s="20" t="inlineStr"/>
      <c r="E207" s="20">
        <f>IF(D207&lt;&gt;"", ROUND(AVERAGE(D201:D207), 2), "")</f>
        <v/>
      </c>
      <c r="F207" s="20">
        <f>IF(D207&lt;&gt;"", ROUND(D207 - Setup!$B$6, 2), "")</f>
        <v/>
      </c>
      <c r="G207" s="12" t="inlineStr"/>
      <c r="H207" s="10" t="inlineStr">
        <is>
          <t>Follicular Phase</t>
        </is>
      </c>
      <c r="I207" s="11" t="inlineStr"/>
    </row>
    <row r="208" ht="22" customHeight="1">
      <c r="A208" s="7" t="inlineStr">
        <is>
          <t>2027-05-18</t>
        </is>
      </c>
      <c r="B208" s="7" t="n">
        <v>207</v>
      </c>
      <c r="C208" s="7" t="inlineStr">
        <is>
          <t>Tuesday</t>
        </is>
      </c>
      <c r="D208" s="19" t="inlineStr"/>
      <c r="E208" s="19">
        <f>IF(D208&lt;&gt;"", ROUND(AVERAGE(D202:D208), 2), "")</f>
        <v/>
      </c>
      <c r="F208" s="19">
        <f>IF(D208&lt;&gt;"", ROUND(D208 - Setup!$B$6, 2), "")</f>
        <v/>
      </c>
      <c r="G208" s="9" t="inlineStr"/>
      <c r="H208" s="7" t="inlineStr">
        <is>
          <t>Follicular Phase</t>
        </is>
      </c>
      <c r="I208" s="8" t="inlineStr"/>
    </row>
    <row r="209" ht="22" customHeight="1">
      <c r="A209" s="10" t="inlineStr">
        <is>
          <t>2027-05-19</t>
        </is>
      </c>
      <c r="B209" s="10" t="n">
        <v>208</v>
      </c>
      <c r="C209" s="10" t="inlineStr">
        <is>
          <t>Wednesday</t>
        </is>
      </c>
      <c r="D209" s="20" t="inlineStr"/>
      <c r="E209" s="20">
        <f>IF(D209&lt;&gt;"", ROUND(AVERAGE(D203:D209), 2), "")</f>
        <v/>
      </c>
      <c r="F209" s="20">
        <f>IF(D209&lt;&gt;"", ROUND(D209 - Setup!$B$6, 2), "")</f>
        <v/>
      </c>
      <c r="G209" s="12" t="inlineStr"/>
      <c r="H209" s="10" t="inlineStr">
        <is>
          <t>Follicular Phase</t>
        </is>
      </c>
      <c r="I209" s="11" t="inlineStr"/>
    </row>
    <row r="210" ht="22" customHeight="1">
      <c r="A210" s="7" t="inlineStr">
        <is>
          <t>2027-05-20</t>
        </is>
      </c>
      <c r="B210" s="7" t="n">
        <v>209</v>
      </c>
      <c r="C210" s="7" t="inlineStr">
        <is>
          <t>Thursday</t>
        </is>
      </c>
      <c r="D210" s="19" t="inlineStr"/>
      <c r="E210" s="19">
        <f>IF(D210&lt;&gt;"", ROUND(AVERAGE(D204:D210), 2), "")</f>
        <v/>
      </c>
      <c r="F210" s="19">
        <f>IF(D210&lt;&gt;"", ROUND(D210 - Setup!$B$6, 2), "")</f>
        <v/>
      </c>
      <c r="G210" s="9" t="inlineStr"/>
      <c r="H210" s="7" t="inlineStr">
        <is>
          <t>Follicular Phase</t>
        </is>
      </c>
      <c r="I210" s="8" t="inlineStr"/>
    </row>
    <row r="211" ht="22" customHeight="1">
      <c r="A211" s="10" t="inlineStr">
        <is>
          <t>2027-05-21</t>
        </is>
      </c>
      <c r="B211" s="10" t="n">
        <v>210</v>
      </c>
      <c r="C211" s="10" t="inlineStr">
        <is>
          <t>Friday</t>
        </is>
      </c>
      <c r="D211" s="20" t="inlineStr"/>
      <c r="E211" s="20">
        <f>IF(D211&lt;&gt;"", ROUND(AVERAGE(D205:D211), 2), "")</f>
        <v/>
      </c>
      <c r="F211" s="20">
        <f>IF(D211&lt;&gt;"", ROUND(D211 - Setup!$B$6, 2), "")</f>
        <v/>
      </c>
      <c r="G211" s="12" t="inlineStr"/>
      <c r="H211" s="10" t="inlineStr">
        <is>
          <t>Follicular Phase</t>
        </is>
      </c>
      <c r="I211" s="11" t="inlineStr"/>
    </row>
    <row r="212" ht="22" customHeight="1">
      <c r="A212" s="7" t="inlineStr">
        <is>
          <t>2027-05-22</t>
        </is>
      </c>
      <c r="B212" s="7" t="n">
        <v>211</v>
      </c>
      <c r="C212" s="7" t="inlineStr">
        <is>
          <t>Saturday</t>
        </is>
      </c>
      <c r="D212" s="19" t="inlineStr"/>
      <c r="E212" s="19">
        <f>IF(D212&lt;&gt;"", ROUND(AVERAGE(D206:D212), 2), "")</f>
        <v/>
      </c>
      <c r="F212" s="19">
        <f>IF(D212&lt;&gt;"", ROUND(D212 - Setup!$B$6, 2), "")</f>
        <v/>
      </c>
      <c r="G212" s="9" t="inlineStr"/>
      <c r="H212" s="7" t="inlineStr">
        <is>
          <t>Follicular Phase</t>
        </is>
      </c>
      <c r="I212" s="8" t="inlineStr"/>
    </row>
    <row r="213" ht="22" customHeight="1">
      <c r="A213" s="10" t="inlineStr">
        <is>
          <t>2027-05-23</t>
        </is>
      </c>
      <c r="B213" s="10" t="n">
        <v>212</v>
      </c>
      <c r="C213" s="10" t="inlineStr">
        <is>
          <t>Sunday</t>
        </is>
      </c>
      <c r="D213" s="20" t="inlineStr"/>
      <c r="E213" s="20">
        <f>IF(D213&lt;&gt;"", ROUND(AVERAGE(D207:D213), 2), "")</f>
        <v/>
      </c>
      <c r="F213" s="20">
        <f>IF(D213&lt;&gt;"", ROUND(D213 - Setup!$B$6, 2), "")</f>
        <v/>
      </c>
      <c r="G213" s="12" t="inlineStr"/>
      <c r="H213" s="10" t="inlineStr">
        <is>
          <t>Follicular Phase</t>
        </is>
      </c>
      <c r="I213" s="11" t="inlineStr"/>
    </row>
    <row r="214" ht="22" customHeight="1">
      <c r="A214" s="7" t="inlineStr">
        <is>
          <t>2027-05-24</t>
        </is>
      </c>
      <c r="B214" s="7" t="n">
        <v>213</v>
      </c>
      <c r="C214" s="7" t="inlineStr">
        <is>
          <t>Monday</t>
        </is>
      </c>
      <c r="D214" s="19" t="inlineStr"/>
      <c r="E214" s="19">
        <f>IF(D214&lt;&gt;"", ROUND(AVERAGE(D208:D214), 2), "")</f>
        <v/>
      </c>
      <c r="F214" s="19">
        <f>IF(D214&lt;&gt;"", ROUND(D214 - Setup!$B$6, 2), "")</f>
        <v/>
      </c>
      <c r="G214" s="9" t="inlineStr"/>
      <c r="H214" s="7" t="inlineStr">
        <is>
          <t>Follicular Phase</t>
        </is>
      </c>
      <c r="I214" s="8" t="inlineStr"/>
    </row>
    <row r="215" ht="22" customHeight="1">
      <c r="A215" s="10" t="inlineStr">
        <is>
          <t>2027-05-25</t>
        </is>
      </c>
      <c r="B215" s="10" t="n">
        <v>214</v>
      </c>
      <c r="C215" s="10" t="inlineStr">
        <is>
          <t>Tuesday</t>
        </is>
      </c>
      <c r="D215" s="20" t="inlineStr"/>
      <c r="E215" s="20">
        <f>IF(D215&lt;&gt;"", ROUND(AVERAGE(D209:D215), 2), "")</f>
        <v/>
      </c>
      <c r="F215" s="20">
        <f>IF(D215&lt;&gt;"", ROUND(D215 - Setup!$B$6, 2), "")</f>
        <v/>
      </c>
      <c r="G215" s="12" t="inlineStr"/>
      <c r="H215" s="10" t="inlineStr">
        <is>
          <t>Follicular Phase</t>
        </is>
      </c>
      <c r="I215" s="11" t="inlineStr"/>
    </row>
    <row r="216" ht="22" customHeight="1">
      <c r="A216" s="7" t="inlineStr">
        <is>
          <t>2027-05-26</t>
        </is>
      </c>
      <c r="B216" s="7" t="n">
        <v>215</v>
      </c>
      <c r="C216" s="7" t="inlineStr">
        <is>
          <t>Wednesday</t>
        </is>
      </c>
      <c r="D216" s="19" t="inlineStr"/>
      <c r="E216" s="19">
        <f>IF(D216&lt;&gt;"", ROUND(AVERAGE(D210:D216), 2), "")</f>
        <v/>
      </c>
      <c r="F216" s="19">
        <f>IF(D216&lt;&gt;"", ROUND(D216 - Setup!$B$6, 2), "")</f>
        <v/>
      </c>
      <c r="G216" s="9" t="inlineStr"/>
      <c r="H216" s="7" t="inlineStr">
        <is>
          <t>Follicular Phase</t>
        </is>
      </c>
      <c r="I216" s="8" t="inlineStr"/>
    </row>
    <row r="217" ht="22" customHeight="1">
      <c r="A217" s="10" t="inlineStr">
        <is>
          <t>2027-05-27</t>
        </is>
      </c>
      <c r="B217" s="10" t="n">
        <v>216</v>
      </c>
      <c r="C217" s="10" t="inlineStr">
        <is>
          <t>Thursday</t>
        </is>
      </c>
      <c r="D217" s="20" t="inlineStr"/>
      <c r="E217" s="20">
        <f>IF(D217&lt;&gt;"", ROUND(AVERAGE(D211:D217), 2), "")</f>
        <v/>
      </c>
      <c r="F217" s="20">
        <f>IF(D217&lt;&gt;"", ROUND(D217 - Setup!$B$6, 2), "")</f>
        <v/>
      </c>
      <c r="G217" s="12" t="inlineStr"/>
      <c r="H217" s="10" t="inlineStr">
        <is>
          <t>Follicular Phase</t>
        </is>
      </c>
      <c r="I217" s="11" t="inlineStr"/>
    </row>
    <row r="218" ht="22" customHeight="1">
      <c r="A218" s="7" t="inlineStr">
        <is>
          <t>2027-05-28</t>
        </is>
      </c>
      <c r="B218" s="7" t="n">
        <v>217</v>
      </c>
      <c r="C218" s="7" t="inlineStr">
        <is>
          <t>Friday</t>
        </is>
      </c>
      <c r="D218" s="19" t="inlineStr"/>
      <c r="E218" s="19">
        <f>IF(D218&lt;&gt;"", ROUND(AVERAGE(D212:D218), 2), "")</f>
        <v/>
      </c>
      <c r="F218" s="19">
        <f>IF(D218&lt;&gt;"", ROUND(D218 - Setup!$B$6, 2), "")</f>
        <v/>
      </c>
      <c r="G218" s="9" t="inlineStr"/>
      <c r="H218" s="7" t="inlineStr">
        <is>
          <t>Follicular Phase</t>
        </is>
      </c>
      <c r="I218" s="8" t="inlineStr"/>
    </row>
    <row r="219" ht="22" customHeight="1">
      <c r="A219" s="10" t="inlineStr">
        <is>
          <t>2027-05-29</t>
        </is>
      </c>
      <c r="B219" s="10" t="n">
        <v>218</v>
      </c>
      <c r="C219" s="10" t="inlineStr">
        <is>
          <t>Saturday</t>
        </is>
      </c>
      <c r="D219" s="20" t="inlineStr"/>
      <c r="E219" s="20">
        <f>IF(D219&lt;&gt;"", ROUND(AVERAGE(D213:D219), 2), "")</f>
        <v/>
      </c>
      <c r="F219" s="20">
        <f>IF(D219&lt;&gt;"", ROUND(D219 - Setup!$B$6, 2), "")</f>
        <v/>
      </c>
      <c r="G219" s="12" t="inlineStr"/>
      <c r="H219" s="10" t="inlineStr">
        <is>
          <t>Follicular Phase</t>
        </is>
      </c>
      <c r="I219" s="11" t="inlineStr"/>
    </row>
    <row r="220" ht="22" customHeight="1">
      <c r="A220" s="7" t="inlineStr">
        <is>
          <t>2027-05-30</t>
        </is>
      </c>
      <c r="B220" s="7" t="n">
        <v>219</v>
      </c>
      <c r="C220" s="7" t="inlineStr">
        <is>
          <t>Sunday</t>
        </is>
      </c>
      <c r="D220" s="19" t="inlineStr"/>
      <c r="E220" s="19">
        <f>IF(D220&lt;&gt;"", ROUND(AVERAGE(D214:D220), 2), "")</f>
        <v/>
      </c>
      <c r="F220" s="19">
        <f>IF(D220&lt;&gt;"", ROUND(D220 - Setup!$B$6, 2), "")</f>
        <v/>
      </c>
      <c r="G220" s="9" t="inlineStr"/>
      <c r="H220" s="7" t="inlineStr">
        <is>
          <t>Follicular Phase</t>
        </is>
      </c>
      <c r="I220" s="8" t="inlineStr"/>
    </row>
    <row r="221" ht="22" customHeight="1">
      <c r="A221" s="10" t="inlineStr">
        <is>
          <t>2027-05-31</t>
        </is>
      </c>
      <c r="B221" s="10" t="n">
        <v>220</v>
      </c>
      <c r="C221" s="10" t="inlineStr">
        <is>
          <t>Monday</t>
        </is>
      </c>
      <c r="D221" s="20" t="inlineStr"/>
      <c r="E221" s="20">
        <f>IF(D221&lt;&gt;"", ROUND(AVERAGE(D215:D221), 2), "")</f>
        <v/>
      </c>
      <c r="F221" s="20">
        <f>IF(D221&lt;&gt;"", ROUND(D221 - Setup!$B$6, 2), "")</f>
        <v/>
      </c>
      <c r="G221" s="12" t="inlineStr"/>
      <c r="H221" s="10" t="inlineStr">
        <is>
          <t>Follicular Phase</t>
        </is>
      </c>
      <c r="I221" s="11" t="inlineStr"/>
    </row>
    <row r="222" ht="22" customHeight="1">
      <c r="A222" s="7" t="inlineStr">
        <is>
          <t>2027-06-01</t>
        </is>
      </c>
      <c r="B222" s="7" t="n">
        <v>221</v>
      </c>
      <c r="C222" s="7" t="inlineStr">
        <is>
          <t>Tuesday</t>
        </is>
      </c>
      <c r="D222" s="19" t="inlineStr"/>
      <c r="E222" s="19">
        <f>IF(D222&lt;&gt;"", ROUND(AVERAGE(D216:D222), 2), "")</f>
        <v/>
      </c>
      <c r="F222" s="19">
        <f>IF(D222&lt;&gt;"", ROUND(D222 - Setup!$B$6, 2), "")</f>
        <v/>
      </c>
      <c r="G222" s="9" t="inlineStr"/>
      <c r="H222" s="7" t="inlineStr">
        <is>
          <t>Follicular Phase</t>
        </is>
      </c>
      <c r="I222" s="8" t="inlineStr"/>
    </row>
    <row r="223" ht="22" customHeight="1">
      <c r="A223" s="10" t="inlineStr">
        <is>
          <t>2027-06-02</t>
        </is>
      </c>
      <c r="B223" s="10" t="n">
        <v>222</v>
      </c>
      <c r="C223" s="10" t="inlineStr">
        <is>
          <t>Wednesday</t>
        </is>
      </c>
      <c r="D223" s="20" t="inlineStr"/>
      <c r="E223" s="20">
        <f>IF(D223&lt;&gt;"", ROUND(AVERAGE(D217:D223), 2), "")</f>
        <v/>
      </c>
      <c r="F223" s="20">
        <f>IF(D223&lt;&gt;"", ROUND(D223 - Setup!$B$6, 2), "")</f>
        <v/>
      </c>
      <c r="G223" s="12" t="inlineStr"/>
      <c r="H223" s="10" t="inlineStr">
        <is>
          <t>Follicular Phase</t>
        </is>
      </c>
      <c r="I223" s="11" t="inlineStr"/>
    </row>
    <row r="224" ht="22" customHeight="1">
      <c r="A224" s="7" t="inlineStr">
        <is>
          <t>2027-06-03</t>
        </is>
      </c>
      <c r="B224" s="7" t="n">
        <v>223</v>
      </c>
      <c r="C224" s="7" t="inlineStr">
        <is>
          <t>Thursday</t>
        </is>
      </c>
      <c r="D224" s="19" t="inlineStr"/>
      <c r="E224" s="19">
        <f>IF(D224&lt;&gt;"", ROUND(AVERAGE(D218:D224), 2), "")</f>
        <v/>
      </c>
      <c r="F224" s="19">
        <f>IF(D224&lt;&gt;"", ROUND(D224 - Setup!$B$6, 2), "")</f>
        <v/>
      </c>
      <c r="G224" s="9" t="inlineStr"/>
      <c r="H224" s="7" t="inlineStr">
        <is>
          <t>Follicular Phase</t>
        </is>
      </c>
      <c r="I224" s="8" t="inlineStr"/>
    </row>
    <row r="225" ht="22" customHeight="1">
      <c r="A225" s="10" t="inlineStr">
        <is>
          <t>2027-06-04</t>
        </is>
      </c>
      <c r="B225" s="10" t="n">
        <v>224</v>
      </c>
      <c r="C225" s="10" t="inlineStr">
        <is>
          <t>Friday</t>
        </is>
      </c>
      <c r="D225" s="20" t="inlineStr"/>
      <c r="E225" s="20">
        <f>IF(D225&lt;&gt;"", ROUND(AVERAGE(D219:D225), 2), "")</f>
        <v/>
      </c>
      <c r="F225" s="20">
        <f>IF(D225&lt;&gt;"", ROUND(D225 - Setup!$B$6, 2), "")</f>
        <v/>
      </c>
      <c r="G225" s="12" t="inlineStr"/>
      <c r="H225" s="10" t="inlineStr">
        <is>
          <t>Follicular Phase</t>
        </is>
      </c>
      <c r="I225" s="11" t="inlineStr"/>
    </row>
    <row r="226" ht="22" customHeight="1">
      <c r="A226" s="7" t="inlineStr">
        <is>
          <t>2027-06-05</t>
        </is>
      </c>
      <c r="B226" s="7" t="n">
        <v>225</v>
      </c>
      <c r="C226" s="7" t="inlineStr">
        <is>
          <t>Saturday</t>
        </is>
      </c>
      <c r="D226" s="19" t="inlineStr"/>
      <c r="E226" s="19">
        <f>IF(D226&lt;&gt;"", ROUND(AVERAGE(D220:D226), 2), "")</f>
        <v/>
      </c>
      <c r="F226" s="19">
        <f>IF(D226&lt;&gt;"", ROUND(D226 - Setup!$B$6, 2), "")</f>
        <v/>
      </c>
      <c r="G226" s="9" t="inlineStr"/>
      <c r="H226" s="7" t="inlineStr">
        <is>
          <t>Follicular Phase</t>
        </is>
      </c>
      <c r="I226" s="8" t="inlineStr"/>
    </row>
    <row r="227" ht="22" customHeight="1">
      <c r="A227" s="10" t="inlineStr">
        <is>
          <t>2027-06-06</t>
        </is>
      </c>
      <c r="B227" s="10" t="n">
        <v>226</v>
      </c>
      <c r="C227" s="10" t="inlineStr">
        <is>
          <t>Sunday</t>
        </is>
      </c>
      <c r="D227" s="20" t="inlineStr"/>
      <c r="E227" s="20">
        <f>IF(D227&lt;&gt;"", ROUND(AVERAGE(D221:D227), 2), "")</f>
        <v/>
      </c>
      <c r="F227" s="20">
        <f>IF(D227&lt;&gt;"", ROUND(D227 - Setup!$B$6, 2), "")</f>
        <v/>
      </c>
      <c r="G227" s="12" t="inlineStr"/>
      <c r="H227" s="10" t="inlineStr">
        <is>
          <t>Follicular Phase</t>
        </is>
      </c>
      <c r="I227" s="11" t="inlineStr"/>
    </row>
    <row r="228" ht="22" customHeight="1">
      <c r="A228" s="7" t="inlineStr">
        <is>
          <t>2027-06-07</t>
        </is>
      </c>
      <c r="B228" s="7" t="n">
        <v>227</v>
      </c>
      <c r="C228" s="7" t="inlineStr">
        <is>
          <t>Monday</t>
        </is>
      </c>
      <c r="D228" s="19" t="inlineStr"/>
      <c r="E228" s="19">
        <f>IF(D228&lt;&gt;"", ROUND(AVERAGE(D222:D228), 2), "")</f>
        <v/>
      </c>
      <c r="F228" s="19">
        <f>IF(D228&lt;&gt;"", ROUND(D228 - Setup!$B$6, 2), "")</f>
        <v/>
      </c>
      <c r="G228" s="9" t="inlineStr"/>
      <c r="H228" s="7" t="inlineStr">
        <is>
          <t>Follicular Phase</t>
        </is>
      </c>
      <c r="I228" s="8" t="inlineStr"/>
    </row>
    <row r="229" ht="22" customHeight="1">
      <c r="A229" s="10" t="inlineStr">
        <is>
          <t>2027-06-08</t>
        </is>
      </c>
      <c r="B229" s="10" t="n">
        <v>228</v>
      </c>
      <c r="C229" s="10" t="inlineStr">
        <is>
          <t>Tuesday</t>
        </is>
      </c>
      <c r="D229" s="20" t="inlineStr"/>
      <c r="E229" s="20">
        <f>IF(D229&lt;&gt;"", ROUND(AVERAGE(D223:D229), 2), "")</f>
        <v/>
      </c>
      <c r="F229" s="20">
        <f>IF(D229&lt;&gt;"", ROUND(D229 - Setup!$B$6, 2), "")</f>
        <v/>
      </c>
      <c r="G229" s="12" t="inlineStr"/>
      <c r="H229" s="10" t="inlineStr">
        <is>
          <t>Follicular Phase</t>
        </is>
      </c>
      <c r="I229" s="11" t="inlineStr"/>
    </row>
    <row r="230" ht="22" customHeight="1">
      <c r="A230" s="7" t="inlineStr">
        <is>
          <t>2027-06-09</t>
        </is>
      </c>
      <c r="B230" s="7" t="n">
        <v>229</v>
      </c>
      <c r="C230" s="7" t="inlineStr">
        <is>
          <t>Wednesday</t>
        </is>
      </c>
      <c r="D230" s="19" t="inlineStr"/>
      <c r="E230" s="19">
        <f>IF(D230&lt;&gt;"", ROUND(AVERAGE(D224:D230), 2), "")</f>
        <v/>
      </c>
      <c r="F230" s="19">
        <f>IF(D230&lt;&gt;"", ROUND(D230 - Setup!$B$6, 2), "")</f>
        <v/>
      </c>
      <c r="G230" s="9" t="inlineStr"/>
      <c r="H230" s="7" t="inlineStr">
        <is>
          <t>Follicular Phase</t>
        </is>
      </c>
      <c r="I230" s="8" t="inlineStr"/>
    </row>
    <row r="231" ht="22" customHeight="1">
      <c r="A231" s="10" t="inlineStr">
        <is>
          <t>2027-06-10</t>
        </is>
      </c>
      <c r="B231" s="10" t="n">
        <v>230</v>
      </c>
      <c r="C231" s="10" t="inlineStr">
        <is>
          <t>Thursday</t>
        </is>
      </c>
      <c r="D231" s="20" t="inlineStr"/>
      <c r="E231" s="20">
        <f>IF(D231&lt;&gt;"", ROUND(AVERAGE(D225:D231), 2), "")</f>
        <v/>
      </c>
      <c r="F231" s="20">
        <f>IF(D231&lt;&gt;"", ROUND(D231 - Setup!$B$6, 2), "")</f>
        <v/>
      </c>
      <c r="G231" s="12" t="inlineStr"/>
      <c r="H231" s="10" t="inlineStr">
        <is>
          <t>Follicular Phase</t>
        </is>
      </c>
      <c r="I231" s="11" t="inlineStr"/>
    </row>
    <row r="232" ht="22" customHeight="1">
      <c r="A232" s="7" t="inlineStr">
        <is>
          <t>2027-06-11</t>
        </is>
      </c>
      <c r="B232" s="7" t="n">
        <v>231</v>
      </c>
      <c r="C232" s="7" t="inlineStr">
        <is>
          <t>Friday</t>
        </is>
      </c>
      <c r="D232" s="19" t="inlineStr"/>
      <c r="E232" s="19">
        <f>IF(D232&lt;&gt;"", ROUND(AVERAGE(D226:D232), 2), "")</f>
        <v/>
      </c>
      <c r="F232" s="19">
        <f>IF(D232&lt;&gt;"", ROUND(D232 - Setup!$B$6, 2), "")</f>
        <v/>
      </c>
      <c r="G232" s="9" t="inlineStr"/>
      <c r="H232" s="7" t="inlineStr">
        <is>
          <t>Follicular Phase</t>
        </is>
      </c>
      <c r="I232" s="8" t="inlineStr"/>
    </row>
    <row r="233" ht="22" customHeight="1">
      <c r="A233" s="10" t="inlineStr">
        <is>
          <t>2027-06-12</t>
        </is>
      </c>
      <c r="B233" s="10" t="n">
        <v>232</v>
      </c>
      <c r="C233" s="10" t="inlineStr">
        <is>
          <t>Saturday</t>
        </is>
      </c>
      <c r="D233" s="20" t="inlineStr"/>
      <c r="E233" s="20">
        <f>IF(D233&lt;&gt;"", ROUND(AVERAGE(D227:D233), 2), "")</f>
        <v/>
      </c>
      <c r="F233" s="20">
        <f>IF(D233&lt;&gt;"", ROUND(D233 - Setup!$B$6, 2), "")</f>
        <v/>
      </c>
      <c r="G233" s="12" t="inlineStr"/>
      <c r="H233" s="10" t="inlineStr">
        <is>
          <t>Follicular Phase</t>
        </is>
      </c>
      <c r="I233" s="11" t="inlineStr"/>
    </row>
    <row r="234" ht="22" customHeight="1">
      <c r="A234" s="7" t="inlineStr">
        <is>
          <t>2027-06-13</t>
        </is>
      </c>
      <c r="B234" s="7" t="n">
        <v>233</v>
      </c>
      <c r="C234" s="7" t="inlineStr">
        <is>
          <t>Sunday</t>
        </is>
      </c>
      <c r="D234" s="19" t="inlineStr"/>
      <c r="E234" s="19">
        <f>IF(D234&lt;&gt;"", ROUND(AVERAGE(D228:D234), 2), "")</f>
        <v/>
      </c>
      <c r="F234" s="19">
        <f>IF(D234&lt;&gt;"", ROUND(D234 - Setup!$B$6, 2), "")</f>
        <v/>
      </c>
      <c r="G234" s="9" t="inlineStr"/>
      <c r="H234" s="7" t="inlineStr">
        <is>
          <t>Follicular Phase</t>
        </is>
      </c>
      <c r="I234" s="8" t="inlineStr"/>
    </row>
    <row r="235" ht="22" customHeight="1">
      <c r="A235" s="10" t="inlineStr">
        <is>
          <t>2027-06-14</t>
        </is>
      </c>
      <c r="B235" s="10" t="n">
        <v>234</v>
      </c>
      <c r="C235" s="10" t="inlineStr">
        <is>
          <t>Monday</t>
        </is>
      </c>
      <c r="D235" s="20" t="inlineStr"/>
      <c r="E235" s="20">
        <f>IF(D235&lt;&gt;"", ROUND(AVERAGE(D229:D235), 2), "")</f>
        <v/>
      </c>
      <c r="F235" s="20">
        <f>IF(D235&lt;&gt;"", ROUND(D235 - Setup!$B$6, 2), "")</f>
        <v/>
      </c>
      <c r="G235" s="12" t="inlineStr"/>
      <c r="H235" s="10" t="inlineStr">
        <is>
          <t>Follicular Phase</t>
        </is>
      </c>
      <c r="I235" s="11" t="inlineStr"/>
    </row>
    <row r="236" ht="22" customHeight="1">
      <c r="A236" s="7" t="inlineStr">
        <is>
          <t>2027-06-15</t>
        </is>
      </c>
      <c r="B236" s="7" t="n">
        <v>235</v>
      </c>
      <c r="C236" s="7" t="inlineStr">
        <is>
          <t>Tuesday</t>
        </is>
      </c>
      <c r="D236" s="19" t="inlineStr"/>
      <c r="E236" s="19">
        <f>IF(D236&lt;&gt;"", ROUND(AVERAGE(D230:D236), 2), "")</f>
        <v/>
      </c>
      <c r="F236" s="19">
        <f>IF(D236&lt;&gt;"", ROUND(D236 - Setup!$B$6, 2), "")</f>
        <v/>
      </c>
      <c r="G236" s="9" t="inlineStr"/>
      <c r="H236" s="7" t="inlineStr">
        <is>
          <t>Follicular Phase</t>
        </is>
      </c>
      <c r="I236" s="8" t="inlineStr"/>
    </row>
    <row r="237" ht="22" customHeight="1">
      <c r="A237" s="10" t="inlineStr">
        <is>
          <t>2027-06-16</t>
        </is>
      </c>
      <c r="B237" s="10" t="n">
        <v>236</v>
      </c>
      <c r="C237" s="10" t="inlineStr">
        <is>
          <t>Wednesday</t>
        </is>
      </c>
      <c r="D237" s="20" t="inlineStr"/>
      <c r="E237" s="20">
        <f>IF(D237&lt;&gt;"", ROUND(AVERAGE(D231:D237), 2), "")</f>
        <v/>
      </c>
      <c r="F237" s="20">
        <f>IF(D237&lt;&gt;"", ROUND(D237 - Setup!$B$6, 2), "")</f>
        <v/>
      </c>
      <c r="G237" s="12" t="inlineStr"/>
      <c r="H237" s="10" t="inlineStr">
        <is>
          <t>Follicular Phase</t>
        </is>
      </c>
      <c r="I237" s="11" t="inlineStr"/>
    </row>
    <row r="238" ht="22" customHeight="1">
      <c r="A238" s="7" t="inlineStr">
        <is>
          <t>2027-06-17</t>
        </is>
      </c>
      <c r="B238" s="7" t="n">
        <v>237</v>
      </c>
      <c r="C238" s="7" t="inlineStr">
        <is>
          <t>Thursday</t>
        </is>
      </c>
      <c r="D238" s="19" t="inlineStr"/>
      <c r="E238" s="19">
        <f>IF(D238&lt;&gt;"", ROUND(AVERAGE(D232:D238), 2), "")</f>
        <v/>
      </c>
      <c r="F238" s="19">
        <f>IF(D238&lt;&gt;"", ROUND(D238 - Setup!$B$6, 2), "")</f>
        <v/>
      </c>
      <c r="G238" s="9" t="inlineStr"/>
      <c r="H238" s="7" t="inlineStr">
        <is>
          <t>Follicular Phase</t>
        </is>
      </c>
      <c r="I238" s="8" t="inlineStr"/>
    </row>
    <row r="239" ht="22" customHeight="1">
      <c r="A239" s="10" t="inlineStr">
        <is>
          <t>2027-06-18</t>
        </is>
      </c>
      <c r="B239" s="10" t="n">
        <v>238</v>
      </c>
      <c r="C239" s="10" t="inlineStr">
        <is>
          <t>Friday</t>
        </is>
      </c>
      <c r="D239" s="20" t="inlineStr"/>
      <c r="E239" s="20">
        <f>IF(D239&lt;&gt;"", ROUND(AVERAGE(D233:D239), 2), "")</f>
        <v/>
      </c>
      <c r="F239" s="20">
        <f>IF(D239&lt;&gt;"", ROUND(D239 - Setup!$B$6, 2), "")</f>
        <v/>
      </c>
      <c r="G239" s="12" t="inlineStr"/>
      <c r="H239" s="10" t="inlineStr">
        <is>
          <t>Follicular Phase</t>
        </is>
      </c>
      <c r="I239" s="11" t="inlineStr"/>
    </row>
    <row r="240" ht="22" customHeight="1">
      <c r="A240" s="7" t="inlineStr">
        <is>
          <t>2027-06-19</t>
        </is>
      </c>
      <c r="B240" s="7" t="n">
        <v>239</v>
      </c>
      <c r="C240" s="7" t="inlineStr">
        <is>
          <t>Saturday</t>
        </is>
      </c>
      <c r="D240" s="19" t="inlineStr"/>
      <c r="E240" s="19">
        <f>IF(D240&lt;&gt;"", ROUND(AVERAGE(D234:D240), 2), "")</f>
        <v/>
      </c>
      <c r="F240" s="19">
        <f>IF(D240&lt;&gt;"", ROUND(D240 - Setup!$B$6, 2), "")</f>
        <v/>
      </c>
      <c r="G240" s="9" t="inlineStr"/>
      <c r="H240" s="7" t="inlineStr">
        <is>
          <t>Follicular Phase</t>
        </is>
      </c>
      <c r="I240" s="8" t="inlineStr"/>
    </row>
    <row r="241" ht="22" customHeight="1">
      <c r="A241" s="10" t="inlineStr">
        <is>
          <t>2027-06-20</t>
        </is>
      </c>
      <c r="B241" s="10" t="n">
        <v>240</v>
      </c>
      <c r="C241" s="10" t="inlineStr">
        <is>
          <t>Sunday</t>
        </is>
      </c>
      <c r="D241" s="20" t="inlineStr"/>
      <c r="E241" s="20">
        <f>IF(D241&lt;&gt;"", ROUND(AVERAGE(D235:D241), 2), "")</f>
        <v/>
      </c>
      <c r="F241" s="20">
        <f>IF(D241&lt;&gt;"", ROUND(D241 - Setup!$B$6, 2), "")</f>
        <v/>
      </c>
      <c r="G241" s="12" t="inlineStr"/>
      <c r="H241" s="10" t="inlineStr">
        <is>
          <t>Follicular Phase</t>
        </is>
      </c>
      <c r="I241" s="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showGridLines="1" workbookViewId="0">
      <selection activeCell="A1" sqref="A1"/>
    </sheetView>
  </sheetViews>
  <sheetFormatPr baseColWidth="8" defaultRowHeight="15" outlineLevelCol="0"/>
  <cols>
    <col width="30" customWidth="1" min="1" max="1"/>
    <col width="30" customWidth="1" min="2" max="2"/>
    <col width="22" customWidth="1" min="3" max="3"/>
    <col width="22" customWidth="1" min="4" max="4"/>
    <col width="18" customWidth="1" min="5" max="5"/>
    <col width="22" customWidth="1" min="6" max="6"/>
  </cols>
  <sheetData>
    <row r="1" ht="34" customHeight="1">
      <c r="A1" s="1" t="inlineStr">
        <is>
          <t>HER JOURNEY 240 — AFFORDABLE BENGALURU GROCERY LIST</t>
        </is>
      </c>
    </row>
    <row r="2" ht="26" customHeight="1">
      <c r="A2" s="21" t="inlineStr">
        <is>
          <t>Item Name</t>
        </is>
      </c>
      <c r="B2" s="21" t="inlineStr">
        <is>
          <t>Kannada / Regional Name</t>
        </is>
      </c>
      <c r="C2" s="21" t="inlineStr">
        <is>
          <t>Category</t>
        </is>
      </c>
      <c r="D2" s="21" t="inlineStr">
        <is>
          <t>Typical Purchase Qty</t>
        </is>
      </c>
      <c r="E2" s="21" t="inlineStr">
        <is>
          <t>Approx Price (₹)</t>
        </is>
      </c>
      <c r="F2" s="21" t="inlineStr">
        <is>
          <t>Purchase Frequency</t>
        </is>
      </c>
    </row>
    <row r="3" ht="22" customHeight="1">
      <c r="A3" s="11" t="inlineStr">
        <is>
          <t>Sona Masoori Rice</t>
        </is>
      </c>
      <c r="B3" s="11" t="inlineStr">
        <is>
          <t>ಅಕ್ಕಿ (Akki)</t>
        </is>
      </c>
      <c r="C3" s="10" t="inlineStr">
        <is>
          <t>Grains &amp; Millets</t>
        </is>
      </c>
      <c r="D3" s="10" t="inlineStr">
        <is>
          <t>5 kg bag</t>
        </is>
      </c>
      <c r="E3" s="22" t="n">
        <v>320</v>
      </c>
      <c r="F3" s="10" t="inlineStr">
        <is>
          <t>Monthly</t>
        </is>
      </c>
    </row>
    <row r="4" ht="22" customHeight="1">
      <c r="A4" s="8" t="inlineStr">
        <is>
          <t>Whole Wheat Flour (Atta)</t>
        </is>
      </c>
      <c r="B4" s="8" t="inlineStr">
        <is>
          <t>ಗೋಧಿ ಹಿಟ್ಟು (Godhi Hittu)</t>
        </is>
      </c>
      <c r="C4" s="7" t="inlineStr">
        <is>
          <t>Grains &amp; Millets</t>
        </is>
      </c>
      <c r="D4" s="7" t="inlineStr">
        <is>
          <t>2 kg bag</t>
        </is>
      </c>
      <c r="E4" s="23" t="n">
        <v>110</v>
      </c>
      <c r="F4" s="7" t="inlineStr">
        <is>
          <t>Bi-weekly</t>
        </is>
      </c>
    </row>
    <row r="5" ht="22" customHeight="1">
      <c r="A5" s="11" t="inlineStr">
        <is>
          <t>Ragi Flour (Finger Millet)</t>
        </is>
      </c>
      <c r="B5" s="11" t="inlineStr">
        <is>
          <t>ರಾಗಿ ಹಿಟ್ಟು (Ragi Hittu)</t>
        </is>
      </c>
      <c r="C5" s="10" t="inlineStr">
        <is>
          <t>Grains &amp; Millets</t>
        </is>
      </c>
      <c r="D5" s="10" t="inlineStr">
        <is>
          <t>1 kg bag</t>
        </is>
      </c>
      <c r="E5" s="22" t="n">
        <v>60</v>
      </c>
      <c r="F5" s="10" t="inlineStr">
        <is>
          <t>Monthly</t>
        </is>
      </c>
    </row>
    <row r="6" ht="22" customHeight="1">
      <c r="A6" s="8" t="inlineStr">
        <is>
          <t>Rolled Oats</t>
        </is>
      </c>
      <c r="B6" s="8" t="inlineStr">
        <is>
          <t>ಓಟ್ಸ್ (Oats)</t>
        </is>
      </c>
      <c r="C6" s="7" t="inlineStr">
        <is>
          <t>Grains &amp; Millets</t>
        </is>
      </c>
      <c r="D6" s="7" t="inlineStr">
        <is>
          <t>1 kg bag</t>
        </is>
      </c>
      <c r="E6" s="23" t="n">
        <v>175</v>
      </c>
      <c r="F6" s="7" t="inlineStr">
        <is>
          <t>Monthly</t>
        </is>
      </c>
    </row>
    <row r="7" ht="22" customHeight="1">
      <c r="A7" s="11" t="inlineStr">
        <is>
          <t>Roasted Rava / Semolina</t>
        </is>
      </c>
      <c r="B7" s="11" t="inlineStr">
        <is>
          <t>ರವೆ (Rave)</t>
        </is>
      </c>
      <c r="C7" s="10" t="inlineStr">
        <is>
          <t>Grains &amp; Millets</t>
        </is>
      </c>
      <c r="D7" s="10" t="inlineStr">
        <is>
          <t>1 kg packet</t>
        </is>
      </c>
      <c r="E7" s="22" t="n">
        <v>65</v>
      </c>
      <c r="F7" s="10" t="inlineStr">
        <is>
          <t>Monthly</t>
        </is>
      </c>
    </row>
    <row r="8" ht="22" customHeight="1">
      <c r="A8" s="8" t="inlineStr">
        <is>
          <t>Thick Poha (Flattened Rice)</t>
        </is>
      </c>
      <c r="B8" s="8" t="inlineStr">
        <is>
          <t>ಅವಲಕ್ಕಿ (Avalakki)</t>
        </is>
      </c>
      <c r="C8" s="7" t="inlineStr">
        <is>
          <t>Grains &amp; Millets</t>
        </is>
      </c>
      <c r="D8" s="7" t="inlineStr">
        <is>
          <t>1 kg packet</t>
        </is>
      </c>
      <c r="E8" s="23" t="n">
        <v>65</v>
      </c>
      <c r="F8" s="7" t="inlineStr">
        <is>
          <t>Monthly</t>
        </is>
      </c>
    </row>
    <row r="9" ht="22" customHeight="1">
      <c r="A9" s="11" t="inlineStr">
        <is>
          <t>Toor Dal</t>
        </is>
      </c>
      <c r="B9" s="11" t="inlineStr">
        <is>
          <t>ತೊಗರಿ ಬೇಳೆ (Togari Bele)</t>
        </is>
      </c>
      <c r="C9" s="10" t="inlineStr">
        <is>
          <t>Dals &amp; Pulses</t>
        </is>
      </c>
      <c r="D9" s="10" t="inlineStr">
        <is>
          <t>1 kg bag</t>
        </is>
      </c>
      <c r="E9" s="22" t="n">
        <v>160</v>
      </c>
      <c r="F9" s="10" t="inlineStr">
        <is>
          <t>Monthly</t>
        </is>
      </c>
    </row>
    <row r="10" ht="22" customHeight="1">
      <c r="A10" s="8" t="inlineStr">
        <is>
          <t>Moong Dal</t>
        </is>
      </c>
      <c r="B10" s="8" t="inlineStr">
        <is>
          <t>ಹೆಸರು ಬೇಳೆ (Hesaru Bele)</t>
        </is>
      </c>
      <c r="C10" s="7" t="inlineStr">
        <is>
          <t>Dals &amp; Pulses</t>
        </is>
      </c>
      <c r="D10" s="7" t="inlineStr">
        <is>
          <t>500g</t>
        </is>
      </c>
      <c r="E10" s="23" t="n">
        <v>85</v>
      </c>
      <c r="F10" s="7" t="inlineStr">
        <is>
          <t>Monthly</t>
        </is>
      </c>
    </row>
    <row r="11" ht="22" customHeight="1">
      <c r="A11" s="11" t="inlineStr">
        <is>
          <t>Chana Dal</t>
        </is>
      </c>
      <c r="B11" s="11" t="inlineStr">
        <is>
          <t>ಕಡಲೆ ಬೇಳೆ (Kadale Bele)</t>
        </is>
      </c>
      <c r="C11" s="10" t="inlineStr">
        <is>
          <t>Dals &amp; Pulses</t>
        </is>
      </c>
      <c r="D11" s="10" t="inlineStr">
        <is>
          <t>500g</t>
        </is>
      </c>
      <c r="E11" s="22" t="n">
        <v>70</v>
      </c>
      <c r="F11" s="10" t="inlineStr">
        <is>
          <t>Monthly</t>
        </is>
      </c>
    </row>
    <row r="12" ht="22" customHeight="1">
      <c r="A12" s="8" t="inlineStr">
        <is>
          <t>Sprouted Green Moong</t>
        </is>
      </c>
      <c r="B12" s="8" t="inlineStr">
        <is>
          <t>ಮೊಳಕೆ ಕಾಳು (Molake Kaalu)</t>
        </is>
      </c>
      <c r="C12" s="7" t="inlineStr">
        <is>
          <t>Dals &amp; Pulses</t>
        </is>
      </c>
      <c r="D12" s="7" t="inlineStr">
        <is>
          <t>500g</t>
        </is>
      </c>
      <c r="E12" s="23" t="n">
        <v>75</v>
      </c>
      <c r="F12" s="7" t="inlineStr">
        <is>
          <t>Weekly</t>
        </is>
      </c>
    </row>
    <row r="13" ht="22" customHeight="1">
      <c r="A13" s="11" t="inlineStr">
        <is>
          <t>Kabuli Chana (Chickpeas)</t>
        </is>
      </c>
      <c r="B13" s="11" t="inlineStr">
        <is>
          <t>ಕಡಲೆ ಕಾಳು (Kadale Kaalu)</t>
        </is>
      </c>
      <c r="C13" s="10" t="inlineStr">
        <is>
          <t>Dals &amp; Pulses</t>
        </is>
      </c>
      <c r="D13" s="10" t="inlineStr">
        <is>
          <t>500g</t>
        </is>
      </c>
      <c r="E13" s="22" t="n">
        <v>70</v>
      </c>
      <c r="F13" s="10" t="inlineStr">
        <is>
          <t>Monthly</t>
        </is>
      </c>
    </row>
    <row r="14" ht="22" customHeight="1">
      <c r="A14" s="8" t="inlineStr">
        <is>
          <t>Roasted Chana / Puri Kadale</t>
        </is>
      </c>
      <c r="B14" s="8" t="inlineStr">
        <is>
          <t>ಹುರಿಗಡಲೆ (Hurigadale)</t>
        </is>
      </c>
      <c r="C14" s="7" t="inlineStr">
        <is>
          <t>Snacks &amp; Proteins</t>
        </is>
      </c>
      <c r="D14" s="7" t="inlineStr">
        <is>
          <t>500g packet</t>
        </is>
      </c>
      <c r="E14" s="23" t="n">
        <v>65</v>
      </c>
      <c r="F14" s="7" t="inlineStr">
        <is>
          <t>Monthly</t>
        </is>
      </c>
    </row>
    <row r="15" ht="22" customHeight="1">
      <c r="A15" s="11" t="inlineStr">
        <is>
          <t>Fresh Chicken Breast / Curry Cuts</t>
        </is>
      </c>
      <c r="B15" s="11" t="inlineStr">
        <is>
          <t>ಕೋಳಿ ಮಾಂಸ (Koli Mamsa)</t>
        </is>
      </c>
      <c r="C15" s="10" t="inlineStr">
        <is>
          <t>Poultry &amp; Meat</t>
        </is>
      </c>
      <c r="D15" s="10" t="inlineStr">
        <is>
          <t>1 kg (Weekly)</t>
        </is>
      </c>
      <c r="E15" s="22" t="n">
        <v>240</v>
      </c>
      <c r="F15" s="10" t="inlineStr">
        <is>
          <t>Weekly</t>
        </is>
      </c>
    </row>
    <row r="16" ht="22" customHeight="1">
      <c r="A16" s="8" t="inlineStr">
        <is>
          <t>Farm Fresh Eggs</t>
        </is>
      </c>
      <c r="B16" s="8" t="inlineStr">
        <is>
          <t>ಮೊಟ್ಟೆ (Motte)</t>
        </is>
      </c>
      <c r="C16" s="7" t="inlineStr">
        <is>
          <t>Poultry &amp; Meat</t>
        </is>
      </c>
      <c r="D16" s="7" t="inlineStr">
        <is>
          <t>Crate of 30 pcs</t>
        </is>
      </c>
      <c r="E16" s="23" t="n">
        <v>210</v>
      </c>
      <c r="F16" s="7" t="inlineStr">
        <is>
          <t>Bi-weekly</t>
        </is>
      </c>
    </row>
    <row r="17" ht="22" customHeight="1">
      <c r="A17" s="11" t="inlineStr">
        <is>
          <t>Fresh Rohu / Sea Fish</t>
        </is>
      </c>
      <c r="B17" s="11" t="inlineStr">
        <is>
          <t>ಮೀನು (Meenu)</t>
        </is>
      </c>
      <c r="C17" s="10" t="inlineStr">
        <is>
          <t>Poultry &amp; Meat</t>
        </is>
      </c>
      <c r="D17" s="10" t="inlineStr">
        <is>
          <t>500g</t>
        </is>
      </c>
      <c r="E17" s="22" t="n">
        <v>160</v>
      </c>
      <c r="F17" s="10" t="inlineStr">
        <is>
          <t>Weekly</t>
        </is>
      </c>
    </row>
    <row r="18" ht="22" customHeight="1">
      <c r="A18" s="8" t="inlineStr">
        <is>
          <t>Fresh Malai Paneer</t>
        </is>
      </c>
      <c r="B18" s="8" t="inlineStr">
        <is>
          <t>ಪನೀರ್ (Paneer)</t>
        </is>
      </c>
      <c r="C18" s="7" t="inlineStr">
        <is>
          <t>Dairy</t>
        </is>
      </c>
      <c r="D18" s="7" t="inlineStr">
        <is>
          <t>200g block</t>
        </is>
      </c>
      <c r="E18" s="23" t="n">
        <v>95</v>
      </c>
      <c r="F18" s="7" t="inlineStr">
        <is>
          <t>Weekly</t>
        </is>
      </c>
    </row>
    <row r="19" ht="22" customHeight="1">
      <c r="A19" s="11" t="inlineStr">
        <is>
          <t>Fresh Curd / Nandini Milk</t>
        </is>
      </c>
      <c r="B19" s="11" t="inlineStr">
        <is>
          <t>ಮೊಸರು / ಹಾಲು (Mosaru / Haalu)</t>
        </is>
      </c>
      <c r="C19" s="10" t="inlineStr">
        <is>
          <t>Dairy</t>
        </is>
      </c>
      <c r="D19" s="10" t="inlineStr">
        <is>
          <t>500ml daily</t>
        </is>
      </c>
      <c r="E19" s="22" t="n">
        <v>30</v>
      </c>
      <c r="F19" s="10" t="inlineStr">
        <is>
          <t>Daily / Weekly</t>
        </is>
      </c>
    </row>
    <row r="20" ht="22" customHeight="1">
      <c r="A20" s="8" t="inlineStr">
        <is>
          <t>Soya Chunks (Mealmaker)</t>
        </is>
      </c>
      <c r="B20" s="8" t="inlineStr">
        <is>
          <t>ಸೋಯಾ ಚಂಕ್ಸ್ (Soya Chunks)</t>
        </is>
      </c>
      <c r="C20" s="7" t="inlineStr">
        <is>
          <t>Plant Protein</t>
        </is>
      </c>
      <c r="D20" s="7" t="inlineStr">
        <is>
          <t>200g box</t>
        </is>
      </c>
      <c r="E20" s="23" t="n">
        <v>50</v>
      </c>
      <c r="F20" s="7" t="inlineStr">
        <is>
          <t>Monthly</t>
        </is>
      </c>
    </row>
    <row r="21" ht="22" customHeight="1">
      <c r="A21" s="11" t="inlineStr">
        <is>
          <t>French Beans</t>
        </is>
      </c>
      <c r="B21" s="11" t="inlineStr">
        <is>
          <t>ಬೀನ್ಸ್ (Beans)</t>
        </is>
      </c>
      <c r="C21" s="10" t="inlineStr">
        <is>
          <t>Fresh Vegetables</t>
        </is>
      </c>
      <c r="D21" s="10" t="inlineStr">
        <is>
          <t>500g</t>
        </is>
      </c>
      <c r="E21" s="22" t="n">
        <v>35</v>
      </c>
      <c r="F21" s="10" t="inlineStr">
        <is>
          <t>Weekly</t>
        </is>
      </c>
    </row>
    <row r="22" ht="22" customHeight="1">
      <c r="A22" s="8" t="inlineStr">
        <is>
          <t>Fresh Carrots</t>
        </is>
      </c>
      <c r="B22" s="8" t="inlineStr">
        <is>
          <t>ಕ್ಯಾರೆಟ್ (Carrot)</t>
        </is>
      </c>
      <c r="C22" s="7" t="inlineStr">
        <is>
          <t>Fresh Vegetables</t>
        </is>
      </c>
      <c r="D22" s="7" t="inlineStr">
        <is>
          <t>500g</t>
        </is>
      </c>
      <c r="E22" s="23" t="n">
        <v>30</v>
      </c>
      <c r="F22" s="7" t="inlineStr">
        <is>
          <t>Weekly</t>
        </is>
      </c>
    </row>
    <row r="23" ht="22" customHeight="1">
      <c r="A23" s="11" t="inlineStr">
        <is>
          <t>Palak / Spinach</t>
        </is>
      </c>
      <c r="B23" s="11" t="inlineStr">
        <is>
          <t>ಪಾಲಕ್ ಸೊಪ್ಪು (Palak Soppu)</t>
        </is>
      </c>
      <c r="C23" s="10" t="inlineStr">
        <is>
          <t>Fresh Vegetables</t>
        </is>
      </c>
      <c r="D23" s="10" t="inlineStr">
        <is>
          <t>2 bunches</t>
        </is>
      </c>
      <c r="E23" s="22" t="n">
        <v>30</v>
      </c>
      <c r="F23" s="10" t="inlineStr">
        <is>
          <t>Weekly</t>
        </is>
      </c>
    </row>
    <row r="24" ht="22" customHeight="1">
      <c r="A24" s="8" t="inlineStr">
        <is>
          <t>Ridge Gourd (Heerekayi)</t>
        </is>
      </c>
      <c r="B24" s="8" t="inlineStr">
        <is>
          <t>ಹೀರೇಕಾಯಿ (Heerekayi)</t>
        </is>
      </c>
      <c r="C24" s="7" t="inlineStr">
        <is>
          <t>Fresh Vegetables</t>
        </is>
      </c>
      <c r="D24" s="7" t="inlineStr">
        <is>
          <t>500g</t>
        </is>
      </c>
      <c r="E24" s="23" t="n">
        <v>35</v>
      </c>
      <c r="F24" s="7" t="inlineStr">
        <is>
          <t>Weekly</t>
        </is>
      </c>
    </row>
    <row r="25" ht="22" customHeight="1">
      <c r="A25" s="11" t="inlineStr">
        <is>
          <t>Cabbage &amp; Capsicum</t>
        </is>
      </c>
      <c r="B25" s="11" t="inlineStr">
        <is>
          <t>ಎಲೆಕೋಸು (Elekosu)</t>
        </is>
      </c>
      <c r="C25" s="10" t="inlineStr">
        <is>
          <t>Fresh Vegetables</t>
        </is>
      </c>
      <c r="D25" s="10" t="inlineStr">
        <is>
          <t>1 kg</t>
        </is>
      </c>
      <c r="E25" s="22" t="n">
        <v>40</v>
      </c>
      <c r="F25" s="10" t="inlineStr">
        <is>
          <t>Weekly</t>
        </is>
      </c>
    </row>
    <row r="26" ht="22" customHeight="1">
      <c r="A26" s="8" t="inlineStr">
        <is>
          <t>Country Tomatoes &amp; Onions</t>
        </is>
      </c>
      <c r="B26" s="8" t="inlineStr">
        <is>
          <t>ಟೊಮೆಟೊ / ಈರುಳ್ಳಿ</t>
        </is>
      </c>
      <c r="C26" s="7" t="inlineStr">
        <is>
          <t>Fresh Vegetables</t>
        </is>
      </c>
      <c r="D26" s="7" t="inlineStr">
        <is>
          <t>2 kg each</t>
        </is>
      </c>
      <c r="E26" s="23" t="n">
        <v>120</v>
      </c>
      <c r="F26" s="7" t="inlineStr">
        <is>
          <t>Weekly</t>
        </is>
      </c>
    </row>
    <row r="27" ht="22" customHeight="1">
      <c r="A27" s="11" t="inlineStr">
        <is>
          <t>Cucumbers (Salad)</t>
        </is>
      </c>
      <c r="B27" s="11" t="inlineStr">
        <is>
          <t>ಸೌತೆಕಾಯಿ (Southekayi)</t>
        </is>
      </c>
      <c r="C27" s="10" t="inlineStr">
        <is>
          <t>Fresh Vegetables</t>
        </is>
      </c>
      <c r="D27" s="10" t="inlineStr">
        <is>
          <t>1 kg</t>
        </is>
      </c>
      <c r="E27" s="22" t="n">
        <v>35</v>
      </c>
      <c r="F27" s="10" t="inlineStr">
        <is>
          <t>Weekly</t>
        </is>
      </c>
    </row>
    <row r="28" ht="22" customHeight="1">
      <c r="A28" s="8" t="inlineStr">
        <is>
          <t>Tender Coconut (Elaneeru)</t>
        </is>
      </c>
      <c r="B28" s="8" t="inlineStr">
        <is>
          <t>ಎಳನೀರು (Elaneeru)</t>
        </is>
      </c>
      <c r="C28" s="7" t="inlineStr">
        <is>
          <t>Hydration</t>
        </is>
      </c>
      <c r="D28" s="7" t="inlineStr">
        <is>
          <t>3 pcs weekly</t>
        </is>
      </c>
      <c r="E28" s="23" t="n">
        <v>120</v>
      </c>
      <c r="F28" s="7" t="inlineStr">
        <is>
          <t>Weekly</t>
        </is>
      </c>
    </row>
    <row r="29" ht="22" customHeight="1">
      <c r="A29" s="11" t="inlineStr">
        <is>
          <t>Roasted Makhana (Foxnuts)</t>
        </is>
      </c>
      <c r="B29" s="11" t="inlineStr">
        <is>
          <t>ಮಖಾನಾ (Makhana)</t>
        </is>
      </c>
      <c r="C29" s="10" t="inlineStr">
        <is>
          <t>Snacks</t>
        </is>
      </c>
      <c r="D29" s="10" t="inlineStr">
        <is>
          <t>250g packet</t>
        </is>
      </c>
      <c r="E29" s="22" t="n">
        <v>195</v>
      </c>
      <c r="F29" s="10" t="inlineStr">
        <is>
          <t>Monthly</t>
        </is>
      </c>
    </row>
    <row r="30" ht="22" customHeight="1">
      <c r="A30" s="8" t="inlineStr">
        <is>
          <t>Raw Almonds (Badam)</t>
        </is>
      </c>
      <c r="B30" s="8" t="inlineStr">
        <is>
          <t>ಬಾದಾಮಿ (Badami)</t>
        </is>
      </c>
      <c r="C30" s="7" t="inlineStr">
        <is>
          <t>Healthy Fats</t>
        </is>
      </c>
      <c r="D30" s="7" t="inlineStr">
        <is>
          <t>250g packet</t>
        </is>
      </c>
      <c r="E30" s="23" t="n">
        <v>220</v>
      </c>
      <c r="F30" s="7" t="inlineStr">
        <is>
          <t>Monthly</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outlineLevelCol="0"/>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36" customHeight="1">
      <c r="A1" s="1" t="inlineStr">
        <is>
          <t>HER JOURNEY 240 — PROGRESS &amp; ZUMBA ADHERENCE DASHBOARD</t>
        </is>
      </c>
    </row>
    <row r="3" ht="25" customHeight="1">
      <c r="A3" s="24" t="inlineStr">
        <is>
          <t>TOTAL JOURNEY
240 Days
Oct 24, 2026 – Jun 20, 2027</t>
        </is>
      </c>
      <c r="B3" s="25" t="n"/>
      <c r="C3" s="24" t="inlineStr">
        <is>
          <t>BASELINE WEIGHT
88.5 kg
October 24, 2026</t>
        </is>
      </c>
      <c r="D3" s="25" t="n"/>
      <c r="E3" s="24" t="inlineStr">
        <is>
          <t>CURRENT WEIGHT
86.2 kg
Progress: -2.3 kg reduction ❤️</t>
        </is>
      </c>
      <c r="F3" s="25" t="n"/>
      <c r="G3" s="24" t="inlineStr">
        <is>
          <t>DAILY MOVEMENT
Joyful Zumba
15–20 mins • Fun Bollywood &amp; Latin</t>
        </is>
      </c>
      <c r="H3" s="25" t="n"/>
    </row>
    <row r="4" ht="30" customHeight="1">
      <c r="A4" s="25" t="n"/>
      <c r="B4" s="25" t="n"/>
      <c r="C4" s="25" t="n"/>
      <c r="D4" s="25" t="n"/>
      <c r="E4" s="25" t="n"/>
      <c r="F4" s="25" t="n"/>
      <c r="G4" s="25" t="n"/>
      <c r="H4" s="25" t="n"/>
    </row>
  </sheetData>
  <mergeCells count="5">
    <mergeCell ref="E3:F4"/>
    <mergeCell ref="A1:H1"/>
    <mergeCell ref="C3:D4"/>
    <mergeCell ref="A3:B4"/>
    <mergeCell ref="G3:H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2026-10-27T16:56:43Z</dcterms:created>
  <dcterms:modified xmlns:dcterms="http://purl.org/dc/terms/" xmlns:xsi="http://www.w3.org/2001/XMLSchema-instance" xsi:type="dcterms:W3CDTF">2026-10-27T16:56:44Z</dcterms:modified>
</cp:coreProperties>
</file>